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1" sheetId="1" r:id="rId5"/>
    <sheet state="visible" name="Tháng 2" sheetId="2" r:id="rId6"/>
    <sheet state="visible" name="Tháng 3" sheetId="3" r:id="rId7"/>
    <sheet state="visible" name="Tháng 4" sheetId="4" r:id="rId8"/>
    <sheet state="visible" name="Tháng 5" sheetId="5" r:id="rId9"/>
    <sheet state="visible" name="Tháng 6" sheetId="6" r:id="rId10"/>
    <sheet state="visible" name="Tháng 7" sheetId="7" r:id="rId11"/>
    <sheet state="visible" name="Tháng 8" sheetId="8" r:id="rId12"/>
    <sheet state="visible" name="Tháng 9" sheetId="9" r:id="rId13"/>
    <sheet state="visible" name="Tháng 10" sheetId="10" r:id="rId14"/>
    <sheet state="visible" name="Tháng 11" sheetId="11" r:id="rId15"/>
    <sheet state="visible" name="Tháng 12" sheetId="12" r:id="rId16"/>
  </sheets>
  <definedNames/>
  <calcPr/>
</workbook>
</file>

<file path=xl/sharedStrings.xml><?xml version="1.0" encoding="utf-8"?>
<sst xmlns="http://schemas.openxmlformats.org/spreadsheetml/2006/main" count="778" uniqueCount="146">
  <si>
    <t>Vị trí</t>
  </si>
  <si>
    <t xml:space="preserve">Số lượng </t>
  </si>
  <si>
    <t>Công việc tối thiểu (8h/ngày)</t>
  </si>
  <si>
    <t>KPI</t>
  </si>
  <si>
    <t>Manager</t>
  </si>
  <si>
    <t>Lập kế hoạch tháng 
Phân bổ ngân sách
Đảm bảo team chạy đủ ads + content</t>
  </si>
  <si>
    <t>≥ 400 lead/tháng
Chi phí bỏ ra để thu hút khách hàng giảm &lt;10%
Lead chất lượng hơn 70%</t>
  </si>
  <si>
    <t>Performance</t>
  </si>
  <si>
    <t>Chạy ads hằng ngày
Tắt các chiến dịch không hiệu quả
Test tối thiểu 5 chiến dịch mới
Báo cáo hiệu quả ads mỗi tuần</t>
  </si>
  <si>
    <t>130 lead/người/tháng
CPL ≤ mục tiêu
Ít nhất 2 campaign hiệu quả</t>
  </si>
  <si>
    <t>Content</t>
  </si>
  <si>
    <t>Viết tối thiểu 20 nội dung/tháng
Viết bài + kịch bản video + nội dung landing
Phối hợp với ads để làm nội dung chuyển đổi</t>
  </si>
  <si>
    <t>30 content/người/tháng
≥ 3 content tạo ra lead
Nội dung hỗ trợ tăng tỷ lệ chuyển đổi</t>
  </si>
  <si>
    <t>Creative</t>
  </si>
  <si>
    <t>Thiết kế tối thiểu 30 hình/video/tháng
Hỗ trợ content và ads
Cập nhật format mới theo xu hướng</t>
  </si>
  <si>
    <t>50 sản phẩm/tháng
≥ 5 creative chạy ads hiệu quả</t>
  </si>
  <si>
    <t>Team lead</t>
  </si>
  <si>
    <t>Theo dõi pipeline khách hàng mỗi ngày
Họp team tối thiểu 1 lần/tuần
Kiểm tra hoạt động gọi + follow của từng sales
Hỗ trợ xử lý các deal khó</t>
  </si>
  <si>
    <t>Team đạt ≥ 20 khách
Tỷ lệ chốt ≥ 10%
Doanh thu ≥ 300 triệu</t>
  </si>
  <si>
    <t>Defendence</t>
  </si>
  <si>
    <t>Follow-up lại toàn bộ lead chưa chốt
Nhắn tin/gọi lại khách tối thiểu 2–3 lần
Hỗ trợ Member chăm khách</t>
  </si>
  <si>
    <t>Chuyển đổi thêm ≥ 3 khách từ lead cũ
Tỷ lệ phản hồi khách ≥ 90%
Giảm tỷ lệ mất lead</t>
  </si>
  <si>
    <t>Sales member</t>
  </si>
  <si>
    <t>Gọi điện cho lead mỗi ngày
Tư vấn + demo sản phẩm
Follow-up khách ít nhất 3 lần
Cập nhật trạng thái khách vào hệ thống</t>
  </si>
  <si>
    <t>4 khách/người
Doanh thu ≥ 60 triệu/người</t>
  </si>
  <si>
    <t>Automation</t>
  </si>
  <si>
    <t>Xây dựng tool automation cho nội bộ
Tối ưu các quy trình lặp lại (ads, data, CRM…)
Fix lỗi tool đang chạy
Làm việc với Ops/Marketing để hiểu nhu cầu</t>
  </si>
  <si>
    <t>2 automation/người
Giảm workload team ≥ 20%
Tool hoạt động ổn định</t>
  </si>
  <si>
    <t>Fullstack</t>
  </si>
  <si>
    <t>Code feature theo task
Fix bug mỗi ngày
Update hệ thống theo yêu cầu khách
Review code nội bộ</t>
  </si>
  <si>
    <t>2–4 feature/người
Không bug nghiêm trọng
Hệ thống đáp ứng được khách</t>
  </si>
  <si>
    <t>Devops</t>
  </si>
  <si>
    <t>Theo dõi server mỗi ngày
Deploy hệ thống khi có update
Backup dữ liệu
Xử lý lỗi hệ thống ngay khi xảy ra</t>
  </si>
  <si>
    <t>Uptime ≥ 99%
Không lỗi deploy nghiêm trọng
Không mất dữ liệu</t>
  </si>
  <si>
    <t>Ops manager</t>
  </si>
  <si>
    <t xml:space="preserve">Theo dõi tất cả khách
Phối hợp Sales + Tech
Kiểm soát tiến độ triển </t>
  </si>
  <si>
    <t>100% triển khai đúng hạn
CSAT ≥ 90%</t>
  </si>
  <si>
    <t>Delivery</t>
  </si>
  <si>
    <t>Setup hệ thống cho khách
Hướng dẫn khách dùng
Bàn giao hệ thống</t>
  </si>
  <si>
    <t>100% khách được triển khai
Không lỗi setup</t>
  </si>
  <si>
    <t>Support</t>
  </si>
  <si>
    <t>Trả lời khách hằng ngày
Xử lý lỗi cho khách
Theo dõi khách đang dùng</t>
  </si>
  <si>
    <t>Giữ ≥ 95% khách
Phản hồi nhanh</t>
  </si>
  <si>
    <t xml:space="preserve">Kế toán tổng </t>
  </si>
  <si>
    <t>Làm báo cáo tài chính
Kiểm soát thu chi
Làm lương</t>
  </si>
  <si>
    <t>Báo cáo đúng hạn
Không sai số</t>
  </si>
  <si>
    <t>Kế toán công nợ</t>
  </si>
  <si>
    <t>Theo dõi khách thanh toán
Nhắc khách trả tiền
Xuất hóa đơn</t>
  </si>
  <si>
    <t>Thu đủ tiền ≥ 95%
Không để nợ xấu</t>
  </si>
  <si>
    <t>≥ 420 lead/tháng
Chi phí bỏ ra để thu hút khách hàng giảm &lt;10%
Lead chất lượng hơn 70%</t>
  </si>
  <si>
    <t>135 lead/người/tháng
CPL ≤ mục tiêu
Ít nhất 2 campaign hiệu quả</t>
  </si>
  <si>
    <t>32 content/người/tháng
≥ 3 content tạo ra lead
Nội dung hỗ trợ tăng tỷ lệ chuyển đổi</t>
  </si>
  <si>
    <t>52 sản phẩm/tháng
≥ 5 creative chạy ads hiệu quả</t>
  </si>
  <si>
    <t>Team đạt ≥ 21 khách
Tỷ lệ chốt ≥ 10%
Doanh thu ≥ 315 triệu</t>
  </si>
  <si>
    <t>Chuyển đổi thêm ≥ 4 khách từ lead cũ
Tỷ lệ phản hồi khách ≥ 90%
Giảm tỷ lệ mất lead</t>
  </si>
  <si>
    <t>4 khách/người
Doanh thu ≥ 65 triệu/người</t>
  </si>
  <si>
    <t>3-4 feature/người
Không bug nghiêm trọng
Hệ thống đáp ứng được khách</t>
  </si>
  <si>
    <t>Công việc tối thiểu(8h/ngày)</t>
  </si>
  <si>
    <t>≥ 440 lead/tháng
Chi phí bỏ ra để thu hút khách hàng giảm &lt;10%
Lead chất lượng hơn 70%</t>
  </si>
  <si>
    <t>140 lead/người/tháng
CPL ≤ mục tiêu
Ít nhất 2 campaign hiệu quả</t>
  </si>
  <si>
    <t>34 content/người/tháng
≥ 4 content tạo ra lead
Nội dung hỗ trợ tăng tỷ lệ chuyển đổi</t>
  </si>
  <si>
    <t>55 sản phẩm/tháng
≥ 5 creative chạy ads hiệu quả</t>
  </si>
  <si>
    <t>Team đạt ≥ 22 khách
Tỷ lệ chốt ≥ 10%
Doanh thu ≥ 330 triệu</t>
  </si>
  <si>
    <t>Chuyển đổi thêm ≥ 5 khách từ lead cũ
Tỷ lệ phản hồi khách ≥ 90%
Giảm tỷ lệ mất lead</t>
  </si>
  <si>
    <t>5 khách/người
Doanh thu ≥ 70 triệu/người</t>
  </si>
  <si>
    <t>3-5 feature/người
Không bug nghiêm trọng
Hệ thống đáp ứng được khách</t>
  </si>
  <si>
    <t>≥ 460 lead/tháng
Chi phí bỏ ra để thu hút khách hàng giảm &lt;10%
Lead chất lượng hơn 70%</t>
  </si>
  <si>
    <t>150 lead/người/tháng
CPL ≤ mục tiêu
Ít nhất 2 campaign hiệu quả</t>
  </si>
  <si>
    <t>36 content/người/tháng
≥ 4 content tạo ra lead
Nội dung hỗ trợ tăng tỷ lệ chuyển đổi</t>
  </si>
  <si>
    <t>58 sản phẩm/tháng
≥ 6 creative chạy ads hiệu quả</t>
  </si>
  <si>
    <t>Team đạt ≥ 23 khách
Tỷ lệ chốt ≥ 10%
Doanh thu ≥ 345 triệu</t>
  </si>
  <si>
    <t>5 khách/người
Doanh thu ≥ 75 triệu/người</t>
  </si>
  <si>
    <t>4-5 feature/người
Không bug nghiêm trọng
Hệ thống đáp ứng được khách</t>
  </si>
  <si>
    <t>Lương cơ bản (VNĐ)</t>
  </si>
  <si>
    <t>Thưởng KPI (VNĐ)</t>
  </si>
  <si>
    <t>≥ 480 lead/tháng
Chi phí bỏ ra để thu hút khách hàng giảm &lt;10%
Lead chất lượng hơn 70%</t>
  </si>
  <si>
    <t>155 lead/người/tháng
CPL ≤ mục tiêu
Ít nhất 2 campaign hiệu quả</t>
  </si>
  <si>
    <t>38 content/người/tháng
≥ 4 content tạo ra lead
Nội dung hỗ trợ tăng tỷ lệ chuyển đổi</t>
  </si>
  <si>
    <t>63 sản phẩm/tháng
≥ 7 creative chạy ads hiệu quả</t>
  </si>
  <si>
    <t>Cột 5</t>
  </si>
  <si>
    <t>Cột 6</t>
  </si>
  <si>
    <t>Team đạt ≥ 24 khách
Tỷ lệ chốt ≥ 10%
Doanh thu ≥ 360 triệu</t>
  </si>
  <si>
    <t>Chuyển đổi thêm ≥ 6 khách từ lead cũ
Tỷ lệ phản hồi khách ≥ 90%
Giảm tỷ lệ mất lead</t>
  </si>
  <si>
    <t>5 khách/người
Doanh thu ≥ 80 triệu/người</t>
  </si>
  <si>
    <t>3 automation/người
Giảm workload team ≥ 20%
Tool hoạt động ổn định</t>
  </si>
  <si>
    <t>4-6 feature/người
Không bug nghiêm trọng
Hệ thống đáp ứng được khách</t>
  </si>
  <si>
    <t>≥ 500 lead/tháng
Chi phí bỏ ra để thu hút khách hàng giảm &lt;10%
Lead chất lượng hơn 70%</t>
  </si>
  <si>
    <t>165 lead/người/tháng
CPL ≤ mục tiêu
Ít nhất 2 campaign hiệu quả</t>
  </si>
  <si>
    <t>40 content/người/tháng
≥ 5 content tạo ra lead
Nội dung hỗ trợ tăng tỷ lệ chuyển đổi</t>
  </si>
  <si>
    <t>Team đạt ≥ 25 khách
Tỷ lệ chốt ≥ 10%
Doanh thu ≥ 375 triệu</t>
  </si>
  <si>
    <t>6 khách/người
Doanh thu ≥ 85 triệu/người</t>
  </si>
  <si>
    <t>5-6 feature/người
Không bug nghiêm trọng
Hệ thống đáp ứng được khách</t>
  </si>
  <si>
    <t>Uptime ≥ 99.5%
Không lỗi deploy nghiêm trọng
Không mất dữ liệu</t>
  </si>
  <si>
    <t>Giữ ≥ 96% khách
Phản hồi nhanh</t>
  </si>
  <si>
    <t>≥ 525 lead/tháng
Chi phí bỏ ra để thu hút khách hàng giảm &lt;10%
Lead chất lượng hơn 70%</t>
  </si>
  <si>
    <t>170 lead/người/tháng
CPL ≤ mục tiêu
Ít nhất 2 campaign hiệu quả</t>
  </si>
  <si>
    <t>42 content/người/tháng
≥ 5 content tạo ra lead
Nội dung hỗ trợ tăng tỷ lệ chuyển đổi</t>
  </si>
  <si>
    <t>66 sản phẩm/tháng
≥ 7 creative chạy ads hiệu quả</t>
  </si>
  <si>
    <t>Team đạt ≥ 26 khách
Tỷ lệ chốt ≥ 10%
Doanh thu ≥ 390 triệu</t>
  </si>
  <si>
    <t>Chuyển đổi thêm ≥ 7 khách từ lead cũ
Tỷ lệ phản hồi khách ≥ 90%
Giảm tỷ lệ mất lead</t>
  </si>
  <si>
    <t>6 khách/người
Doanh thu ≥ 90 triệu/người</t>
  </si>
  <si>
    <t>5-7 feature/người
Không bug nghiêm trọng
Hệ thống đáp ứng được khách</t>
  </si>
  <si>
    <t>≥ 550 lead/tháng
Chi phí bỏ ra để thu hút khách hàng giảm &lt;10%
Lead chất lượng hơn 70%</t>
  </si>
  <si>
    <t>180 lead/người/tháng
CPL ≤ mục tiêu
Ít nhất 2 campaign hiệu quả</t>
  </si>
  <si>
    <t>45 content/người/tháng
≥ 5 content tạo ra lead
Nội dung hỗ trợ tăng tỷ lệ chuyển đổi</t>
  </si>
  <si>
    <t>70 sản phẩm/tháng
≥ 7 creative chạy ads hiệu quả</t>
  </si>
  <si>
    <t>Team đạt ≥ 27 khách
Tỷ lệ chốt ≥ 10%
Doanh thu ≥ 405 triệu</t>
  </si>
  <si>
    <t>6 khách/người
Doanh thu ≥ 95 triệu/người</t>
  </si>
  <si>
    <t>4 automation/người
Giảm workload team ≥ 20%
Tool hoạt động ổn định</t>
  </si>
  <si>
    <t>6-7 feature/người
Không bug nghiêm trọng
Hệ thống đáp ứng được khách</t>
  </si>
  <si>
    <t>≥ 580 lead/tháng
Chi phí bỏ ra để thu hút khách hàng giảm &lt;10%
Lead chất lượng hơn 70%</t>
  </si>
  <si>
    <t>190 lead/người/tháng
CPL ≤ mục tiêu
Ít nhất 2 campaign hiệu quả</t>
  </si>
  <si>
    <t>48 content/người/tháng
≥ 6 content tạo ra lead
Nội dung hỗ trợ tăng tỷ lệ chuyển đổi</t>
  </si>
  <si>
    <t>75 sản phẩm/tháng
≥ 8 creative chạy ads hiệu quả</t>
  </si>
  <si>
    <t>Team đạt ≥ 28 khách
Tỷ lệ chốt ≥ 10%
Doanh thu ≥ 420 triệu</t>
  </si>
  <si>
    <t>Chuyển đổi thêm ≥ 8 khách từ lead cũ
Tỷ lệ phản hồi khách ≥ 90%
Giảm tỷ lệ mất lead</t>
  </si>
  <si>
    <t>7 khách/người
Doanh thu ≥ 100 triệu/người</t>
  </si>
  <si>
    <t>6-8 feature/người
Không bug nghiêm trọng
Hệ thống đáp ứng được khách</t>
  </si>
  <si>
    <t>Giữ ≥ 97% khách
Phản hồi nhanh</t>
  </si>
  <si>
    <t>≥ 610 lead/tháng
Chi phí bỏ ra để thu hút khách hàng giảm &lt;10%
Lead chất lượng hơn 70%</t>
  </si>
  <si>
    <t>200 lead/người/tháng
CPL ≤ mục tiêu
Ít nhất 2 campaign hiệu quả</t>
  </si>
  <si>
    <t>50 content/người/tháng
≥ 6 content tạo ra lead
Nội dung hỗ trợ tăng tỷ lệ chuyển đổi</t>
  </si>
  <si>
    <t>80 sản phẩm/tháng
≥ 8 creative chạy ads hiệu quả</t>
  </si>
  <si>
    <t>Team đạt ≥ 30 khách
Tỷ lệ chốt ≥ 10%
Doanh thu ≥ 450 triệu</t>
  </si>
  <si>
    <t>Chuyển đổi thêm ≥ 9 khách từ lead cũ
Tỷ lệ phản hồi khách ≥ 90%
Giảm tỷ lệ mất lead</t>
  </si>
  <si>
    <t>7 khách/người
Doanh thu ≥ 110 triệu/người</t>
  </si>
  <si>
    <t>7-8 feature/người
Không bug nghiêm trọng
Hệ thống đáp ứng được khách</t>
  </si>
  <si>
    <t>≥ 640 lead/tháng
Chi phí bỏ ra để thu hút khách hàng giảm &lt;10%
Lead chất lượng hơn 70%</t>
  </si>
  <si>
    <t>210 lead/người/tháng
CPL ≤ mục tiêu
Ít nhất 2 campaign hiệu quả</t>
  </si>
  <si>
    <t>52 content/người/tháng
≥ 6 content tạo ra lead
Nội dung hỗ trợ tăng tỷ lệ chuyển đổi</t>
  </si>
  <si>
    <t>85 sản phẩm/tháng
≥ 9 creative chạy ads hiệu quả</t>
  </si>
  <si>
    <t>Team đạt ≥ 32 khách
Tỷ lệ chốt ≥ 10%
Doanh thu ≥ 480 triệu</t>
  </si>
  <si>
    <t>Chuyển đổi thêm ≥ 10 khách từ lead cũ
Tỷ lệ phản hồi khách ≥ 90%
Giảm tỷ lệ mất lead</t>
  </si>
  <si>
    <t>8 khách/người
Doanh thu ≥ 120 triệu/người</t>
  </si>
  <si>
    <t>5 automation/người
Giảm workload team ≥ 20%
Tool hoạt động ổn định</t>
  </si>
  <si>
    <t>7-9 feature/người
Không bug nghiêm trọng
Hệ thống đáp ứng được khách</t>
  </si>
  <si>
    <t>≥ 670 lead/tháng
Chi phí bỏ ra để thu hút khách hàng giảm &lt;10%
Lead chất lượng hơn 70%</t>
  </si>
  <si>
    <t>220 lead/người/tháng
CPL ≤ mục tiêu
Ít nhất 2 campaign hiệu quả</t>
  </si>
  <si>
    <t>55 content/người/tháng
≥ 7 content tạo ra lead
Nội dung hỗ trợ tăng tỷ lệ chuyển đổi</t>
  </si>
  <si>
    <t>90 sản phẩm/tháng
≥ 10 creative chạy ads hiệu quả</t>
  </si>
  <si>
    <t>Team đạt ≥ 34 khách
Tỷ lệ chốt ≥ 10%
Doanh thu ≥ 510 triệu</t>
  </si>
  <si>
    <t>Chuyển đổi thêm ≥ 12 khách từ lead cũ
Tỷ lệ phản hồi khách ≥ 90%
Giảm tỷ lệ mất lead</t>
  </si>
  <si>
    <t>9 khách/người
Doanh thu ≥ 135 triệu/người</t>
  </si>
  <si>
    <t>8-10 feature/người
Không bug nghiêm trọng
Hệ thống đáp ứng được khách</t>
  </si>
  <si>
    <t>Uptime ≥ 99.9%
Không lỗi deploy nghiêm trọng
Không mất dữ liệu</t>
  </si>
  <si>
    <t>Giữ ≥ 98% khách
Phản hồi nhanh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</si>
</sst>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VNĐ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1">
    <tableStyle count="4" pivot="0" name="Tháng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1-style 2">
      <tableStyleElement dxfId="2" type="firstRowStripe"/>
      <tableStyleElement dxfId="3" type="secondRowStripe"/>
    </tableStyle>
    <tableStyle count="4" pivot="0" name="Tháng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2-style 2">
      <tableStyleElement dxfId="2" type="firstRowStripe"/>
      <tableStyleElement dxfId="3" type="secondRowStripe"/>
    </tableStyle>
    <tableStyle count="4" pivot="0" name="Tháng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2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3-style 2">
      <tableStyleElement dxfId="2" type="firstRowStripe"/>
      <tableStyleElement dxfId="3" type="secondRowStripe"/>
    </tableStyle>
    <tableStyle count="4" pivot="0" name="Tháng 3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3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3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3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4-style 2">
      <tableStyleElement dxfId="2" type="firstRowStripe"/>
      <tableStyleElement dxfId="3" type="secondRowStripe"/>
    </tableStyle>
    <tableStyle count="4" pivot="0" name="Tháng 4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4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4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4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5-style 2">
      <tableStyleElement dxfId="2" type="firstRowStripe"/>
      <tableStyleElement dxfId="3" type="secondRowStripe"/>
    </tableStyle>
    <tableStyle count="4" pivot="0" name="Tháng 5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5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5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6-style 2">
      <tableStyleElement dxfId="2" type="firstRowStripe"/>
      <tableStyleElement dxfId="3" type="secondRowStripe"/>
    </tableStyle>
    <tableStyle count="4" pivot="0" name="Tháng 6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6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6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6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7-style 2">
      <tableStyleElement dxfId="2" type="firstRowStripe"/>
      <tableStyleElement dxfId="3" type="secondRowStripe"/>
    </tableStyle>
    <tableStyle count="4" pivot="0" name="Tháng 7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7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7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7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8-style 2">
      <tableStyleElement dxfId="2" type="firstRowStripe"/>
      <tableStyleElement dxfId="3" type="secondRowStripe"/>
    </tableStyle>
    <tableStyle count="4" pivot="0" name="Tháng 8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8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8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8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9-style 2">
      <tableStyleElement dxfId="2" type="firstRowStripe"/>
      <tableStyleElement dxfId="3" type="secondRowStripe"/>
    </tableStyle>
    <tableStyle count="4" pivot="0" name="Tháng 9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9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9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9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10-style 2">
      <tableStyleElement dxfId="2" type="firstRowStripe"/>
      <tableStyleElement dxfId="3" type="secondRowStripe"/>
    </tableStyle>
    <tableStyle count="4" pivot="0" name="Tháng 10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0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0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0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11-style 2">
      <tableStyleElement dxfId="2" type="firstRowStripe"/>
      <tableStyleElement dxfId="3" type="secondRowStripe"/>
    </tableStyle>
    <tableStyle count="4" pivot="0" name="Tháng 1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háng 12-style 2">
      <tableStyleElement dxfId="2" type="firstRowStripe"/>
      <tableStyleElement dxfId="3" type="secondRowStripe"/>
    </tableStyle>
    <tableStyle count="4" pivot="0" name="Tháng 1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áng 12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Marketing" name="Marketing" id="1">
  <tableColumns count="4">
    <tableColumn name="Vị trí" id="1"/>
    <tableColumn name="Số lượng " id="2"/>
    <tableColumn name="Công việc tối thiểu (8h/ngày)" id="3"/>
    <tableColumn name="KPI" id="4"/>
  </tableColumns>
  <tableStyleInfo name="Tháng 1-style" showColumnStripes="0" showFirstColumn="1" showLastColumn="1" showRowStripes="1"/>
</table>
</file>

<file path=xl/tables/table2.xml><?xml version="1.0" encoding="utf-8"?>
<table xmlns="http://schemas.openxmlformats.org/spreadsheetml/2006/main" headerRowCount="0" ref="G3:J3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Tháng 1-style 2" showColumnStripes="0" showFirstColumn="1" showLastColumn="1" showRowStripes="1"/>
</table>
</file>

<file path=xl/tables/table3.xml><?xml version="1.0" encoding="utf-8"?>
<table xmlns="http://schemas.openxmlformats.org/spreadsheetml/2006/main" ref="A8:D11" displayName="Sales" name="Sales" id="3">
  <tableColumns count="4">
    <tableColumn name="Vị trí" id="1"/>
    <tableColumn name="Số lượng " id="2"/>
    <tableColumn name="Công việc tối thiểu (8h/ngày)" id="3"/>
    <tableColumn name="KPI" id="4"/>
  </tableColumns>
  <tableStyleInfo name="Tháng 1-style 3" showColumnStripes="0" showFirstColumn="1" showLastColumn="1" showRowStripes="1"/>
</table>
</file>

<file path=xl/tables/table4.xml><?xml version="1.0" encoding="utf-8"?>
<table xmlns="http://schemas.openxmlformats.org/spreadsheetml/2006/main" ref="A14:D17" displayName="Tech" name="Tech" id="4">
  <tableColumns count="4">
    <tableColumn name="Vị trí" id="1"/>
    <tableColumn name="Số lượng " id="2"/>
    <tableColumn name="Công việc tối thiểu (8h/ngày)" id="3"/>
    <tableColumn name="KPI" id="4"/>
  </tableColumns>
  <tableStyleInfo name="Tháng 1-style 4" showColumnStripes="0" showFirstColumn="1" showLastColumn="1" showRowStripes="1"/>
</table>
</file>

<file path=xl/tables/table5.xml><?xml version="1.0" encoding="utf-8"?>
<table xmlns="http://schemas.openxmlformats.org/spreadsheetml/2006/main" ref="A20:D23" displayName="OPS" name="OPS" id="5">
  <tableColumns count="4">
    <tableColumn name="Vị trí" id="1"/>
    <tableColumn name="Số lượng " id="2"/>
    <tableColumn name="Công việc tối thiểu (8h/ngày)" id="3"/>
    <tableColumn name="KPI" id="4"/>
  </tableColumns>
  <tableStyleInfo name="Tháng 1-style 5" showColumnStripes="0" showFirstColumn="1" showLastColumn="1" showRowStripes="1"/>
</table>
</file>

<file path=xl/tables/table6.xml><?xml version="1.0" encoding="utf-8"?>
<table xmlns="http://schemas.openxmlformats.org/spreadsheetml/2006/main" ref="A26:D28" displayName="Accountant" name="Accountant" id="6">
  <tableColumns count="4">
    <tableColumn name="Vị trí" id="1"/>
    <tableColumn name="Số lượng " id="2"/>
    <tableColumn name="Công việc tối thiểu (8h/ngày)" id="3"/>
    <tableColumn name="KPI" id="4"/>
  </tableColumns>
  <tableStyleInfo name="Tháng 1-style 6" showColumnStripes="0" showFirstColumn="1" showLastColumn="1" showRowStripes="1"/>
</table>
</file>

<file path=xl/tables/table7.xml><?xml version="1.0" encoding="utf-8"?>
<table xmlns="http://schemas.openxmlformats.org/spreadsheetml/2006/main" ref="A1:D5" displayName="Marketing_2" name="Marketing_2" id="7">
  <tableColumns count="4">
    <tableColumn name="Vị trí" id="1"/>
    <tableColumn name="Số lượng " id="2"/>
    <tableColumn name="Công việc tối thiểu (8h/ngày)" id="3"/>
    <tableColumn name="KPI" id="4"/>
  </tableColumns>
  <tableStyleInfo name="Tháng 2-style" showColumnStripes="0" showFirstColumn="1" showLastColumn="1" showRowStripes="1"/>
</table>
</file>

<file path=xl/tables/table8.xml><?xml version="1.0" encoding="utf-8"?>
<table xmlns="http://schemas.openxmlformats.org/spreadsheetml/2006/main" headerRowCount="0" ref="G3:J3" displayName="Table_2" name="Table_2" id="8">
  <tableColumns count="4">
    <tableColumn name="Column1" id="1"/>
    <tableColumn name="Column2" id="2"/>
    <tableColumn name="Column3" id="3"/>
    <tableColumn name="Column4" id="4"/>
  </tableColumns>
  <tableStyleInfo name="Tháng 2-style 2" showColumnStripes="0" showFirstColumn="1" showLastColumn="1" showRowStripes="1"/>
</table>
</file>

<file path=xl/tables/table9.xml><?xml version="1.0" encoding="utf-8"?>
<table xmlns="http://schemas.openxmlformats.org/spreadsheetml/2006/main" ref="A8:D11" displayName="Sales_2" name="Sales_2" id="9">
  <tableColumns count="4">
    <tableColumn name="Vị trí" id="1"/>
    <tableColumn name="Số lượng " id="2"/>
    <tableColumn name="Công việc tối thiểu (8h/ngày)" id="3"/>
    <tableColumn name="KPI" id="4"/>
  </tableColumns>
  <tableStyleInfo name="Tháng 2-style 3" showColumnStripes="0" showFirstColumn="1" showLastColumn="1" showRowStripes="1"/>
</table>
</file>

<file path=xl/tables/table10.xml><?xml version="1.0" encoding="utf-8"?>
<table xmlns="http://schemas.openxmlformats.org/spreadsheetml/2006/main" ref="A14:D17" displayName="Tech_2" name="Tech_2" id="10">
  <tableColumns count="4">
    <tableColumn name="Vị trí" id="1"/>
    <tableColumn name="Số lượng " id="2"/>
    <tableColumn name="Công việc tối thiểu (8h/ngày)" id="3"/>
    <tableColumn name="KPI" id="4"/>
  </tableColumns>
  <tableStyleInfo name="Tháng 2-style 4" showColumnStripes="0" showFirstColumn="1" showLastColumn="1" showRowStripes="1"/>
</table>
</file>

<file path=xl/tables/table11.xml><?xml version="1.0" encoding="utf-8"?>
<table xmlns="http://schemas.openxmlformats.org/spreadsheetml/2006/main" ref="A20:D23" displayName="OPS_2" name="OPS_2" id="11">
  <tableColumns count="4">
    <tableColumn name="Vị trí" id="1"/>
    <tableColumn name="Số lượng " id="2"/>
    <tableColumn name="Công việc tối thiểu (8h/ngày)" id="3"/>
    <tableColumn name="KPI" id="4"/>
  </tableColumns>
  <tableStyleInfo name="Tháng 2-style 5" showColumnStripes="0" showFirstColumn="1" showLastColumn="1" showRowStripes="1"/>
</table>
</file>

<file path=xl/tables/table12.xml><?xml version="1.0" encoding="utf-8"?>
<table xmlns="http://schemas.openxmlformats.org/spreadsheetml/2006/main" ref="A26:D28" displayName="Accountant_2" name="Accountant_2" id="12">
  <tableColumns count="4">
    <tableColumn name="Vị trí" id="1"/>
    <tableColumn name="Số lượng " id="2"/>
    <tableColumn name="Công việc tối thiểu (8h/ngày)" id="3"/>
    <tableColumn name="KPI" id="4"/>
  </tableColumns>
  <tableStyleInfo name="Tháng 2-style 6" showColumnStripes="0" showFirstColumn="1" showLastColumn="1" showRowStripes="1"/>
</table>
</file>

<file path=xl/tables/table13.xml><?xml version="1.0" encoding="utf-8"?>
<table xmlns="http://schemas.openxmlformats.org/spreadsheetml/2006/main" ref="A1:D5" displayName="Marketing_3" name="Marketing_3" id="13">
  <tableColumns count="4">
    <tableColumn name="Vị trí" id="1"/>
    <tableColumn name="Số lượng " id="2"/>
    <tableColumn name="Công việc tối thiểu(8h/ngày)" id="3"/>
    <tableColumn name="KPI" id="4"/>
  </tableColumns>
  <tableStyleInfo name="Tháng 3-style" showColumnStripes="0" showFirstColumn="1" showLastColumn="1" showRowStripes="1"/>
</table>
</file>

<file path=xl/tables/table14.xml><?xml version="1.0" encoding="utf-8"?>
<table xmlns="http://schemas.openxmlformats.org/spreadsheetml/2006/main" headerRowCount="0" ref="G3:J3" displayName="Table_3" name="Table_3" id="14">
  <tableColumns count="4">
    <tableColumn name="Column1" id="1"/>
    <tableColumn name="Column2" id="2"/>
    <tableColumn name="Column3" id="3"/>
    <tableColumn name="Column4" id="4"/>
  </tableColumns>
  <tableStyleInfo name="Tháng 3-style 2" showColumnStripes="0" showFirstColumn="1" showLastColumn="1" showRowStripes="1"/>
</table>
</file>

<file path=xl/tables/table15.xml><?xml version="1.0" encoding="utf-8"?>
<table xmlns="http://schemas.openxmlformats.org/spreadsheetml/2006/main" ref="A8:D11" displayName="Sales_3" name="Sales_3" id="15">
  <tableColumns count="4">
    <tableColumn name="Vị trí" id="1"/>
    <tableColumn name="Số lượng " id="2"/>
    <tableColumn name="Công việc tối thiểu(8h/ngày)" id="3"/>
    <tableColumn name="KPI" id="4"/>
  </tableColumns>
  <tableStyleInfo name="Tháng 3-style 3" showColumnStripes="0" showFirstColumn="1" showLastColumn="1" showRowStripes="1"/>
</table>
</file>

<file path=xl/tables/table16.xml><?xml version="1.0" encoding="utf-8"?>
<table xmlns="http://schemas.openxmlformats.org/spreadsheetml/2006/main" ref="A14:D17" displayName="Tech_3" name="Tech_3" id="16">
  <tableColumns count="4">
    <tableColumn name="Vị trí" id="1"/>
    <tableColumn name="Số lượng " id="2"/>
    <tableColumn name="Công việc tối thiểu(8h/ngày)" id="3"/>
    <tableColumn name="KPI" id="4"/>
  </tableColumns>
  <tableStyleInfo name="Tháng 3-style 4" showColumnStripes="0" showFirstColumn="1" showLastColumn="1" showRowStripes="1"/>
</table>
</file>

<file path=xl/tables/table17.xml><?xml version="1.0" encoding="utf-8"?>
<table xmlns="http://schemas.openxmlformats.org/spreadsheetml/2006/main" ref="A20:D23" displayName="OPS_3" name="OPS_3" id="17">
  <tableColumns count="4">
    <tableColumn name="Vị trí" id="1"/>
    <tableColumn name="Số lượng " id="2"/>
    <tableColumn name="Công việc tối thiểu(8h/ngày)" id="3"/>
    <tableColumn name="KPI" id="4"/>
  </tableColumns>
  <tableStyleInfo name="Tháng 3-style 5" showColumnStripes="0" showFirstColumn="1" showLastColumn="1" showRowStripes="1"/>
</table>
</file>

<file path=xl/tables/table18.xml><?xml version="1.0" encoding="utf-8"?>
<table xmlns="http://schemas.openxmlformats.org/spreadsheetml/2006/main" ref="A26:D28" displayName="Accountant_3" name="Accountant_3" id="18">
  <tableColumns count="4">
    <tableColumn name="Vị trí" id="1"/>
    <tableColumn name="Số lượng " id="2"/>
    <tableColumn name="Công việc tối thiểu(8h/ngày)" id="3"/>
    <tableColumn name="KPI" id="4"/>
  </tableColumns>
  <tableStyleInfo name="Tháng 3-style 6" showColumnStripes="0" showFirstColumn="1" showLastColumn="1" showRowStripes="1"/>
</table>
</file>

<file path=xl/tables/table19.xml><?xml version="1.0" encoding="utf-8"?>
<table xmlns="http://schemas.openxmlformats.org/spreadsheetml/2006/main" ref="A1:D5" displayName="Marketing_4" name="Marketing_4" id="19">
  <tableColumns count="4">
    <tableColumn name="Vị trí" id="1"/>
    <tableColumn name="Số lượng " id="2"/>
    <tableColumn name="Công việc tối thiểu(8h/ngày)" id="3"/>
    <tableColumn name="KPI" id="4"/>
  </tableColumns>
  <tableStyleInfo name="Tháng 4-style" showColumnStripes="0" showFirstColumn="1" showLastColumn="1" showRowStripes="1"/>
</table>
</file>

<file path=xl/tables/table20.xml><?xml version="1.0" encoding="utf-8"?>
<table xmlns="http://schemas.openxmlformats.org/spreadsheetml/2006/main" headerRowCount="0" ref="G3:J3" displayName="Table_4" name="Table_4" id="20">
  <tableColumns count="4">
    <tableColumn name="Column1" id="1"/>
    <tableColumn name="Column2" id="2"/>
    <tableColumn name="Column3" id="3"/>
    <tableColumn name="Column4" id="4"/>
  </tableColumns>
  <tableStyleInfo name="Tháng 4-style 2" showColumnStripes="0" showFirstColumn="1" showLastColumn="1" showRowStripes="1"/>
</table>
</file>

<file path=xl/tables/table21.xml><?xml version="1.0" encoding="utf-8"?>
<table xmlns="http://schemas.openxmlformats.org/spreadsheetml/2006/main" ref="A8:D11" displayName="Sales_4" name="Sales_4" id="21">
  <tableColumns count="4">
    <tableColumn name="Vị trí" id="1"/>
    <tableColumn name="Số lượng " id="2"/>
    <tableColumn name="Công việc tối thiểu(8h/ngày)" id="3"/>
    <tableColumn name="KPI" id="4"/>
  </tableColumns>
  <tableStyleInfo name="Tháng 4-style 3" showColumnStripes="0" showFirstColumn="1" showLastColumn="1" showRowStripes="1"/>
</table>
</file>

<file path=xl/tables/table22.xml><?xml version="1.0" encoding="utf-8"?>
<table xmlns="http://schemas.openxmlformats.org/spreadsheetml/2006/main" ref="A14:D17" displayName="Tech_4" name="Tech_4" id="22">
  <tableColumns count="4">
    <tableColumn name="Vị trí" id="1"/>
    <tableColumn name="Số lượng " id="2"/>
    <tableColumn name="Công việc tối thiểu(8h/ngày)" id="3"/>
    <tableColumn name="KPI" id="4"/>
  </tableColumns>
  <tableStyleInfo name="Tháng 4-style 4" showColumnStripes="0" showFirstColumn="1" showLastColumn="1" showRowStripes="1"/>
</table>
</file>

<file path=xl/tables/table23.xml><?xml version="1.0" encoding="utf-8"?>
<table xmlns="http://schemas.openxmlformats.org/spreadsheetml/2006/main" ref="A20:D23" displayName="OPS_4" name="OPS_4" id="23">
  <tableColumns count="4">
    <tableColumn name="Vị trí" id="1"/>
    <tableColumn name="Số lượng " id="2"/>
    <tableColumn name="Công việc tối thiểu(8h/ngày)" id="3"/>
    <tableColumn name="KPI" id="4"/>
  </tableColumns>
  <tableStyleInfo name="Tháng 4-style 5" showColumnStripes="0" showFirstColumn="1" showLastColumn="1" showRowStripes="1"/>
</table>
</file>

<file path=xl/tables/table24.xml><?xml version="1.0" encoding="utf-8"?>
<table xmlns="http://schemas.openxmlformats.org/spreadsheetml/2006/main" ref="A26:D28" displayName="Accountant_4" name="Accountant_4" id="24">
  <tableColumns count="4">
    <tableColumn name="Vị trí" id="1"/>
    <tableColumn name="Số lượng " id="2"/>
    <tableColumn name="Công việc tối thiểu(8h/ngày)" id="3"/>
    <tableColumn name="KPI" id="4"/>
  </tableColumns>
  <tableStyleInfo name="Tháng 4-style 6" showColumnStripes="0" showFirstColumn="1" showLastColumn="1" showRowStripes="1"/>
</table>
</file>

<file path=xl/tables/table25.xml><?xml version="1.0" encoding="utf-8"?>
<table xmlns="http://schemas.openxmlformats.org/spreadsheetml/2006/main" ref="A1:F5" displayName="Marketing_5" name="Marketing_5" id="25">
  <tableColumns count="6">
    <tableColumn name="Vị trí" id="1"/>
    <tableColumn name="Số lượng " id="2"/>
    <tableColumn name="Công việc tối thiểu(8h/ngày)" id="3"/>
    <tableColumn name="KPI" id="4"/>
    <tableColumn name="Lương cơ bản (VNĐ)" id="5"/>
    <tableColumn name="Thưởng KPI (VNĐ)" id="6"/>
  </tableColumns>
  <tableStyleInfo name="Tháng 5-style" showColumnStripes="0" showFirstColumn="1" showLastColumn="1" showRowStripes="1"/>
</table>
</file>

<file path=xl/tables/table26.xml><?xml version="1.0" encoding="utf-8"?>
<table xmlns="http://schemas.openxmlformats.org/spreadsheetml/2006/main" headerRowCount="0" ref="I3:L3" displayName="Table_5" name="Table_5" id="26">
  <tableColumns count="4">
    <tableColumn name="Column1" id="1"/>
    <tableColumn name="Column2" id="2"/>
    <tableColumn name="Column3" id="3"/>
    <tableColumn name="Column4" id="4"/>
  </tableColumns>
  <tableStyleInfo name="Tháng 5-style 2" showColumnStripes="0" showFirstColumn="1" showLastColumn="1" showRowStripes="1"/>
</table>
</file>

<file path=xl/tables/table27.xml><?xml version="1.0" encoding="utf-8"?>
<table xmlns="http://schemas.openxmlformats.org/spreadsheetml/2006/main" ref="A8:F11" displayName="Sales_5" name="Sales_5" id="27">
  <tableColumns count="6">
    <tableColumn name="Vị trí" id="1"/>
    <tableColumn name="Số lượng " id="2"/>
    <tableColumn name="Công việc tối thiểu(8h/ngày)" id="3"/>
    <tableColumn name="KPI" id="4"/>
    <tableColumn name="Cột 5" id="5"/>
    <tableColumn name="Cột 6" id="6"/>
  </tableColumns>
  <tableStyleInfo name="Tháng 5-style 3" showColumnStripes="0" showFirstColumn="1" showLastColumn="1" showRowStripes="1"/>
</table>
</file>

<file path=xl/tables/table28.xml><?xml version="1.0" encoding="utf-8"?>
<table xmlns="http://schemas.openxmlformats.org/spreadsheetml/2006/main" ref="A14:F17" displayName="Tech_5" name="Tech_5" id="28">
  <tableColumns count="6">
    <tableColumn name="Vị trí" id="1"/>
    <tableColumn name="Số lượng " id="2"/>
    <tableColumn name="Công việc tối thiểu(8h/ngày)" id="3"/>
    <tableColumn name="KPI" id="4"/>
    <tableColumn name="Cột 5" id="5"/>
    <tableColumn name="Cột 6" id="6"/>
  </tableColumns>
  <tableStyleInfo name="Tháng 5-style 4" showColumnStripes="0" showFirstColumn="1" showLastColumn="1" showRowStripes="1"/>
</table>
</file>

<file path=xl/tables/table29.xml><?xml version="1.0" encoding="utf-8"?>
<table xmlns="http://schemas.openxmlformats.org/spreadsheetml/2006/main" ref="A20:F23" displayName="OPS_5" name="OPS_5" id="29">
  <tableColumns count="6">
    <tableColumn name="Vị trí" id="1"/>
    <tableColumn name="Số lượng " id="2"/>
    <tableColumn name="Công việc tối thiểu(8h/ngày)" id="3"/>
    <tableColumn name="KPI" id="4"/>
    <tableColumn name="Cột 5" id="5"/>
    <tableColumn name="Cột 6" id="6"/>
  </tableColumns>
  <tableStyleInfo name="Tháng 5-style 5" showColumnStripes="0" showFirstColumn="1" showLastColumn="1" showRowStripes="1"/>
</table>
</file>

<file path=xl/tables/table30.xml><?xml version="1.0" encoding="utf-8"?>
<table xmlns="http://schemas.openxmlformats.org/spreadsheetml/2006/main" ref="A1:D5" displayName="Marketing_6" name="Marketing_6" id="30">
  <tableColumns count="4">
    <tableColumn name="Vị trí" id="1"/>
    <tableColumn name="Số lượng " id="2"/>
    <tableColumn name="Công việc tối thiểu(8h/ngày)" id="3"/>
    <tableColumn name="KPI" id="4"/>
  </tableColumns>
  <tableStyleInfo name="Tháng 6-style" showColumnStripes="0" showFirstColumn="1" showLastColumn="1" showRowStripes="1"/>
</table>
</file>

<file path=xl/tables/table31.xml><?xml version="1.0" encoding="utf-8"?>
<table xmlns="http://schemas.openxmlformats.org/spreadsheetml/2006/main" headerRowCount="0" ref="G3:J3" displayName="Table_6" name="Table_6" id="31">
  <tableColumns count="4">
    <tableColumn name="Column1" id="1"/>
    <tableColumn name="Column2" id="2"/>
    <tableColumn name="Column3" id="3"/>
    <tableColumn name="Column4" id="4"/>
  </tableColumns>
  <tableStyleInfo name="Tháng 6-style 2" showColumnStripes="0" showFirstColumn="1" showLastColumn="1" showRowStripes="1"/>
</table>
</file>

<file path=xl/tables/table32.xml><?xml version="1.0" encoding="utf-8"?>
<table xmlns="http://schemas.openxmlformats.org/spreadsheetml/2006/main" ref="A8:D11" displayName="Sales_6" name="Sales_6" id="32">
  <tableColumns count="4">
    <tableColumn name="Vị trí" id="1"/>
    <tableColumn name="Số lượng " id="2"/>
    <tableColumn name="Công việc tối thiểu(8h/ngày)" id="3"/>
    <tableColumn name="KPI" id="4"/>
  </tableColumns>
  <tableStyleInfo name="Tháng 6-style 3" showColumnStripes="0" showFirstColumn="1" showLastColumn="1" showRowStripes="1"/>
</table>
</file>

<file path=xl/tables/table33.xml><?xml version="1.0" encoding="utf-8"?>
<table xmlns="http://schemas.openxmlformats.org/spreadsheetml/2006/main" ref="A14:D17" displayName="Tech_6" name="Tech_6" id="33">
  <tableColumns count="4">
    <tableColumn name="Vị trí" id="1"/>
    <tableColumn name="Số lượng " id="2"/>
    <tableColumn name="Công việc tối thiểu(8h/ngày)" id="3"/>
    <tableColumn name="KPI" id="4"/>
  </tableColumns>
  <tableStyleInfo name="Tháng 6-style 4" showColumnStripes="0" showFirstColumn="1" showLastColumn="1" showRowStripes="1"/>
</table>
</file>

<file path=xl/tables/table34.xml><?xml version="1.0" encoding="utf-8"?>
<table xmlns="http://schemas.openxmlformats.org/spreadsheetml/2006/main" ref="A20:D23" displayName="OPS_6" name="OPS_6" id="34">
  <tableColumns count="4">
    <tableColumn name="Vị trí" id="1"/>
    <tableColumn name="Số lượng " id="2"/>
    <tableColumn name="Công việc tối thiểu(8h/ngày)" id="3"/>
    <tableColumn name="KPI" id="4"/>
  </tableColumns>
  <tableStyleInfo name="Tháng 6-style 5" showColumnStripes="0" showFirstColumn="1" showLastColumn="1" showRowStripes="1"/>
</table>
</file>

<file path=xl/tables/table35.xml><?xml version="1.0" encoding="utf-8"?>
<table xmlns="http://schemas.openxmlformats.org/spreadsheetml/2006/main" ref="A26:D28" displayName="Accountant_6" name="Accountant_6" id="35">
  <tableColumns count="4">
    <tableColumn name="Vị trí" id="1"/>
    <tableColumn name="Số lượng " id="2"/>
    <tableColumn name="Công việc tối thiểu(8h/ngày)" id="3"/>
    <tableColumn name="KPI" id="4"/>
  </tableColumns>
  <tableStyleInfo name="Tháng 6-style 6" showColumnStripes="0" showFirstColumn="1" showLastColumn="1" showRowStripes="1"/>
</table>
</file>

<file path=xl/tables/table36.xml><?xml version="1.0" encoding="utf-8"?>
<table xmlns="http://schemas.openxmlformats.org/spreadsheetml/2006/main" ref="A1:D5" displayName="Marketing_7" name="Marketing_7" id="36">
  <tableColumns count="4">
    <tableColumn name="Vị trí" id="1"/>
    <tableColumn name="Số lượng " id="2"/>
    <tableColumn name="Công việc tối thiểu(8h/ngày)" id="3"/>
    <tableColumn name="KPI" id="4"/>
  </tableColumns>
  <tableStyleInfo name="Tháng 7-style" showColumnStripes="0" showFirstColumn="1" showLastColumn="1" showRowStripes="1"/>
</table>
</file>

<file path=xl/tables/table37.xml><?xml version="1.0" encoding="utf-8"?>
<table xmlns="http://schemas.openxmlformats.org/spreadsheetml/2006/main" headerRowCount="0" ref="G3:J3" displayName="Table_7" name="Table_7" id="37">
  <tableColumns count="4">
    <tableColumn name="Column1" id="1"/>
    <tableColumn name="Column2" id="2"/>
    <tableColumn name="Column3" id="3"/>
    <tableColumn name="Column4" id="4"/>
  </tableColumns>
  <tableStyleInfo name="Tháng 7-style 2" showColumnStripes="0" showFirstColumn="1" showLastColumn="1" showRowStripes="1"/>
</table>
</file>

<file path=xl/tables/table38.xml><?xml version="1.0" encoding="utf-8"?>
<table xmlns="http://schemas.openxmlformats.org/spreadsheetml/2006/main" ref="A8:D11" displayName="Sales_7" name="Sales_7" id="38">
  <tableColumns count="4">
    <tableColumn name="Vị trí" id="1"/>
    <tableColumn name="Số lượng " id="2"/>
    <tableColumn name="Công việc tối thiểu(8h/ngày)" id="3"/>
    <tableColumn name="KPI" id="4"/>
  </tableColumns>
  <tableStyleInfo name="Tháng 7-style 3" showColumnStripes="0" showFirstColumn="1" showLastColumn="1" showRowStripes="1"/>
</table>
</file>

<file path=xl/tables/table39.xml><?xml version="1.0" encoding="utf-8"?>
<table xmlns="http://schemas.openxmlformats.org/spreadsheetml/2006/main" ref="A14:D17" displayName="Tech_7" name="Tech_7" id="39">
  <tableColumns count="4">
    <tableColumn name="Vị trí" id="1"/>
    <tableColumn name="Số lượng " id="2"/>
    <tableColumn name="Công việc tối thiểu(8h/ngày)" id="3"/>
    <tableColumn name="KPI" id="4"/>
  </tableColumns>
  <tableStyleInfo name="Tháng 7-style 4" showColumnStripes="0" showFirstColumn="1" showLastColumn="1" showRowStripes="1"/>
</table>
</file>

<file path=xl/tables/table40.xml><?xml version="1.0" encoding="utf-8"?>
<table xmlns="http://schemas.openxmlformats.org/spreadsheetml/2006/main" ref="A20:D23" displayName="OPS_7" name="OPS_7" id="40">
  <tableColumns count="4">
    <tableColumn name="Vị trí" id="1"/>
    <tableColumn name="Số lượng " id="2"/>
    <tableColumn name="Công việc tối thiểu(8h/ngày)" id="3"/>
    <tableColumn name="KPI" id="4"/>
  </tableColumns>
  <tableStyleInfo name="Tháng 7-style 5" showColumnStripes="0" showFirstColumn="1" showLastColumn="1" showRowStripes="1"/>
</table>
</file>

<file path=xl/tables/table41.xml><?xml version="1.0" encoding="utf-8"?>
<table xmlns="http://schemas.openxmlformats.org/spreadsheetml/2006/main" ref="A26:D28" displayName="Accountant_7" name="Accountant_7" id="41">
  <tableColumns count="4">
    <tableColumn name="Vị trí" id="1"/>
    <tableColumn name="Số lượng " id="2"/>
    <tableColumn name="Công việc tối thiểu(8h/ngày)" id="3"/>
    <tableColumn name="KPI" id="4"/>
  </tableColumns>
  <tableStyleInfo name="Tháng 7-style 6" showColumnStripes="0" showFirstColumn="1" showLastColumn="1" showRowStripes="1"/>
</table>
</file>

<file path=xl/tables/table42.xml><?xml version="1.0" encoding="utf-8"?>
<table xmlns="http://schemas.openxmlformats.org/spreadsheetml/2006/main" ref="A1:D5" displayName="Marketing_8" name="Marketing_8" id="42">
  <tableColumns count="4">
    <tableColumn name="Vị trí" id="1"/>
    <tableColumn name="Số lượng " id="2"/>
    <tableColumn name="Công việc tối thiểu(8h/ngày)" id="3"/>
    <tableColumn name="KPI" id="4"/>
  </tableColumns>
  <tableStyleInfo name="Tháng 8-style" showColumnStripes="0" showFirstColumn="1" showLastColumn="1" showRowStripes="1"/>
</table>
</file>

<file path=xl/tables/table43.xml><?xml version="1.0" encoding="utf-8"?>
<table xmlns="http://schemas.openxmlformats.org/spreadsheetml/2006/main" headerRowCount="0" ref="G3:J3" displayName="Table_8" name="Table_8" id="43">
  <tableColumns count="4">
    <tableColumn name="Column1" id="1"/>
    <tableColumn name="Column2" id="2"/>
    <tableColumn name="Column3" id="3"/>
    <tableColumn name="Column4" id="4"/>
  </tableColumns>
  <tableStyleInfo name="Tháng 8-style 2" showColumnStripes="0" showFirstColumn="1" showLastColumn="1" showRowStripes="1"/>
</table>
</file>

<file path=xl/tables/table44.xml><?xml version="1.0" encoding="utf-8"?>
<table xmlns="http://schemas.openxmlformats.org/spreadsheetml/2006/main" ref="A8:D11" displayName="Sales_8" name="Sales_8" id="44">
  <tableColumns count="4">
    <tableColumn name="Vị trí" id="1"/>
    <tableColumn name="Số lượng " id="2"/>
    <tableColumn name="Công việc tối thiểu(8h/ngày)" id="3"/>
    <tableColumn name="KPI" id="4"/>
  </tableColumns>
  <tableStyleInfo name="Tháng 8-style 3" showColumnStripes="0" showFirstColumn="1" showLastColumn="1" showRowStripes="1"/>
</table>
</file>

<file path=xl/tables/table45.xml><?xml version="1.0" encoding="utf-8"?>
<table xmlns="http://schemas.openxmlformats.org/spreadsheetml/2006/main" ref="A14:D17" displayName="Tech_8" name="Tech_8" id="45">
  <tableColumns count="4">
    <tableColumn name="Vị trí" id="1"/>
    <tableColumn name="Số lượng " id="2"/>
    <tableColumn name="Công việc tối thiểu(8h/ngày)" id="3"/>
    <tableColumn name="KPI" id="4"/>
  </tableColumns>
  <tableStyleInfo name="Tháng 8-style 4" showColumnStripes="0" showFirstColumn="1" showLastColumn="1" showRowStripes="1"/>
</table>
</file>

<file path=xl/tables/table46.xml><?xml version="1.0" encoding="utf-8"?>
<table xmlns="http://schemas.openxmlformats.org/spreadsheetml/2006/main" ref="A20:D23" displayName="OPS_8" name="OPS_8" id="46">
  <tableColumns count="4">
    <tableColumn name="Vị trí" id="1"/>
    <tableColumn name="Số lượng " id="2"/>
    <tableColumn name="Công việc tối thiểu(8h/ngày)" id="3"/>
    <tableColumn name="KPI" id="4"/>
  </tableColumns>
  <tableStyleInfo name="Tháng 8-style 5" showColumnStripes="0" showFirstColumn="1" showLastColumn="1" showRowStripes="1"/>
</table>
</file>

<file path=xl/tables/table47.xml><?xml version="1.0" encoding="utf-8"?>
<table xmlns="http://schemas.openxmlformats.org/spreadsheetml/2006/main" ref="A26:D28" displayName="Accountant_8" name="Accountant_8" id="47">
  <tableColumns count="4">
    <tableColumn name="Vị trí" id="1"/>
    <tableColumn name="Số lượng " id="2"/>
    <tableColumn name="Công việc tối thiểu(8h/ngày)" id="3"/>
    <tableColumn name="KPI" id="4"/>
  </tableColumns>
  <tableStyleInfo name="Tháng 8-style 6" showColumnStripes="0" showFirstColumn="1" showLastColumn="1" showRowStripes="1"/>
</table>
</file>

<file path=xl/tables/table48.xml><?xml version="1.0" encoding="utf-8"?>
<table xmlns="http://schemas.openxmlformats.org/spreadsheetml/2006/main" ref="A1:D5" displayName="Marketing_9" name="Marketing_9" id="48">
  <tableColumns count="4">
    <tableColumn name="Vị trí" id="1"/>
    <tableColumn name="Số lượng " id="2"/>
    <tableColumn name="Công việc tối thiểu(8h/ngày)" id="3"/>
    <tableColumn name="KPI" id="4"/>
  </tableColumns>
  <tableStyleInfo name="Tháng 9-style" showColumnStripes="0" showFirstColumn="1" showLastColumn="1" showRowStripes="1"/>
</table>
</file>

<file path=xl/tables/table49.xml><?xml version="1.0" encoding="utf-8"?>
<table xmlns="http://schemas.openxmlformats.org/spreadsheetml/2006/main" headerRowCount="0" ref="G3:J3" displayName="Table_9" name="Table_9" id="49">
  <tableColumns count="4">
    <tableColumn name="Column1" id="1"/>
    <tableColumn name="Column2" id="2"/>
    <tableColumn name="Column3" id="3"/>
    <tableColumn name="Column4" id="4"/>
  </tableColumns>
  <tableStyleInfo name="Tháng 9-style 2" showColumnStripes="0" showFirstColumn="1" showLastColumn="1" showRowStripes="1"/>
</table>
</file>

<file path=xl/tables/table50.xml><?xml version="1.0" encoding="utf-8"?>
<table xmlns="http://schemas.openxmlformats.org/spreadsheetml/2006/main" ref="A8:D11" displayName="Sales_9" name="Sales_9" id="50">
  <tableColumns count="4">
    <tableColumn name="Vị trí" id="1"/>
    <tableColumn name="Số lượng " id="2"/>
    <tableColumn name="Công việc tối thiểu(8h/ngày)" id="3"/>
    <tableColumn name="KPI" id="4"/>
  </tableColumns>
  <tableStyleInfo name="Tháng 9-style 3" showColumnStripes="0" showFirstColumn="1" showLastColumn="1" showRowStripes="1"/>
</table>
</file>

<file path=xl/tables/table51.xml><?xml version="1.0" encoding="utf-8"?>
<table xmlns="http://schemas.openxmlformats.org/spreadsheetml/2006/main" ref="A14:D17" displayName="Tech_9" name="Tech_9" id="51">
  <tableColumns count="4">
    <tableColumn name="Vị trí" id="1"/>
    <tableColumn name="Số lượng " id="2"/>
    <tableColumn name="Công việc tối thiểu(8h/ngày)" id="3"/>
    <tableColumn name="KPI" id="4"/>
  </tableColumns>
  <tableStyleInfo name="Tháng 9-style 4" showColumnStripes="0" showFirstColumn="1" showLastColumn="1" showRowStripes="1"/>
</table>
</file>

<file path=xl/tables/table52.xml><?xml version="1.0" encoding="utf-8"?>
<table xmlns="http://schemas.openxmlformats.org/spreadsheetml/2006/main" ref="A20:D23" displayName="OPS_9" name="OPS_9" id="52">
  <tableColumns count="4">
    <tableColumn name="Vị trí" id="1"/>
    <tableColumn name="Số lượng " id="2"/>
    <tableColumn name="Công việc tối thiểu(8h/ngày)" id="3"/>
    <tableColumn name="KPI" id="4"/>
  </tableColumns>
  <tableStyleInfo name="Tháng 9-style 5" showColumnStripes="0" showFirstColumn="1" showLastColumn="1" showRowStripes="1"/>
</table>
</file>

<file path=xl/tables/table53.xml><?xml version="1.0" encoding="utf-8"?>
<table xmlns="http://schemas.openxmlformats.org/spreadsheetml/2006/main" ref="A26:D28" displayName="Accountant_9" name="Accountant_9" id="53">
  <tableColumns count="4">
    <tableColumn name="Vị trí" id="1"/>
    <tableColumn name="Số lượng " id="2"/>
    <tableColumn name="Công việc tối thiểu(8h/ngày)" id="3"/>
    <tableColumn name="KPI" id="4"/>
  </tableColumns>
  <tableStyleInfo name="Tháng 9-style 6" showColumnStripes="0" showFirstColumn="1" showLastColumn="1" showRowStripes="1"/>
</table>
</file>

<file path=xl/tables/table54.xml><?xml version="1.0" encoding="utf-8"?>
<table xmlns="http://schemas.openxmlformats.org/spreadsheetml/2006/main" ref="A1:D5" displayName="Marketing_10" name="Marketing_10" id="54">
  <tableColumns count="4">
    <tableColumn name="Vị trí" id="1"/>
    <tableColumn name="Số lượng " id="2"/>
    <tableColumn name="Công việc tối thiểu(8h/ngày)" id="3"/>
    <tableColumn name="KPI" id="4"/>
  </tableColumns>
  <tableStyleInfo name="Tháng 10-style" showColumnStripes="0" showFirstColumn="1" showLastColumn="1" showRowStripes="1"/>
</table>
</file>

<file path=xl/tables/table55.xml><?xml version="1.0" encoding="utf-8"?>
<table xmlns="http://schemas.openxmlformats.org/spreadsheetml/2006/main" headerRowCount="0" ref="G3:J3" displayName="Table_10" name="Table_10" id="55">
  <tableColumns count="4">
    <tableColumn name="Column1" id="1"/>
    <tableColumn name="Column2" id="2"/>
    <tableColumn name="Column3" id="3"/>
    <tableColumn name="Column4" id="4"/>
  </tableColumns>
  <tableStyleInfo name="Tháng 10-style 2" showColumnStripes="0" showFirstColumn="1" showLastColumn="1" showRowStripes="1"/>
</table>
</file>

<file path=xl/tables/table56.xml><?xml version="1.0" encoding="utf-8"?>
<table xmlns="http://schemas.openxmlformats.org/spreadsheetml/2006/main" ref="A8:D11" displayName="Sales_10" name="Sales_10" id="56">
  <tableColumns count="4">
    <tableColumn name="Vị trí" id="1"/>
    <tableColumn name="Số lượng " id="2"/>
    <tableColumn name="Công việc tối thiểu(8h/ngày)" id="3"/>
    <tableColumn name="KPI" id="4"/>
  </tableColumns>
  <tableStyleInfo name="Tháng 10-style 3" showColumnStripes="0" showFirstColumn="1" showLastColumn="1" showRowStripes="1"/>
</table>
</file>

<file path=xl/tables/table57.xml><?xml version="1.0" encoding="utf-8"?>
<table xmlns="http://schemas.openxmlformats.org/spreadsheetml/2006/main" ref="A14:D17" displayName="Tech_10" name="Tech_10" id="57">
  <tableColumns count="4">
    <tableColumn name="Vị trí" id="1"/>
    <tableColumn name="Số lượng " id="2"/>
    <tableColumn name="Công việc tối thiểu(8h/ngày)" id="3"/>
    <tableColumn name="KPI" id="4"/>
  </tableColumns>
  <tableStyleInfo name="Tháng 10-style 4" showColumnStripes="0" showFirstColumn="1" showLastColumn="1" showRowStripes="1"/>
</table>
</file>

<file path=xl/tables/table58.xml><?xml version="1.0" encoding="utf-8"?>
<table xmlns="http://schemas.openxmlformats.org/spreadsheetml/2006/main" ref="A20:D23" displayName="OPS_10" name="OPS_10" id="58">
  <tableColumns count="4">
    <tableColumn name="Vị trí" id="1"/>
    <tableColumn name="Số lượng " id="2"/>
    <tableColumn name="Công việc tối thiểu(8h/ngày)" id="3"/>
    <tableColumn name="KPI" id="4"/>
  </tableColumns>
  <tableStyleInfo name="Tháng 10-style 5" showColumnStripes="0" showFirstColumn="1" showLastColumn="1" showRowStripes="1"/>
</table>
</file>

<file path=xl/tables/table59.xml><?xml version="1.0" encoding="utf-8"?>
<table xmlns="http://schemas.openxmlformats.org/spreadsheetml/2006/main" ref="A26:D28" displayName="Accountant_10" name="Accountant_10" id="59">
  <tableColumns count="4">
    <tableColumn name="Vị trí" id="1"/>
    <tableColumn name="Số lượng " id="2"/>
    <tableColumn name="Công việc tối thiểu(8h/ngày)" id="3"/>
    <tableColumn name="KPI" id="4"/>
  </tableColumns>
  <tableStyleInfo name="Tháng 10-style 6" showColumnStripes="0" showFirstColumn="1" showLastColumn="1" showRowStripes="1"/>
</table>
</file>

<file path=xl/tables/table60.xml><?xml version="1.0" encoding="utf-8"?>
<table xmlns="http://schemas.openxmlformats.org/spreadsheetml/2006/main" ref="A1:D5" displayName="Marketing_11" name="Marketing_11" id="60">
  <tableColumns count="4">
    <tableColumn name="Vị trí" id="1"/>
    <tableColumn name="Số lượng " id="2"/>
    <tableColumn name="Công việc tối thiểu(8h/ngày)" id="3"/>
    <tableColumn name="KPI" id="4"/>
  </tableColumns>
  <tableStyleInfo name="Tháng 11-style" showColumnStripes="0" showFirstColumn="1" showLastColumn="1" showRowStripes="1"/>
</table>
</file>

<file path=xl/tables/table61.xml><?xml version="1.0" encoding="utf-8"?>
<table xmlns="http://schemas.openxmlformats.org/spreadsheetml/2006/main" headerRowCount="0" ref="G3:J3" displayName="Table_11" name="Table_11" id="61">
  <tableColumns count="4">
    <tableColumn name="Column1" id="1"/>
    <tableColumn name="Column2" id="2"/>
    <tableColumn name="Column3" id="3"/>
    <tableColumn name="Column4" id="4"/>
  </tableColumns>
  <tableStyleInfo name="Tháng 11-style 2" showColumnStripes="0" showFirstColumn="1" showLastColumn="1" showRowStripes="1"/>
</table>
</file>

<file path=xl/tables/table62.xml><?xml version="1.0" encoding="utf-8"?>
<table xmlns="http://schemas.openxmlformats.org/spreadsheetml/2006/main" ref="A8:D11" displayName="Sales_11" name="Sales_11" id="62">
  <tableColumns count="4">
    <tableColumn name="Vị trí" id="1"/>
    <tableColumn name="Số lượng " id="2"/>
    <tableColumn name="Công việc tối thiểu(8h/ngày)" id="3"/>
    <tableColumn name="KPI" id="4"/>
  </tableColumns>
  <tableStyleInfo name="Tháng 11-style 3" showColumnStripes="0" showFirstColumn="1" showLastColumn="1" showRowStripes="1"/>
</table>
</file>

<file path=xl/tables/table63.xml><?xml version="1.0" encoding="utf-8"?>
<table xmlns="http://schemas.openxmlformats.org/spreadsheetml/2006/main" ref="A14:D17" displayName="Tech_11" name="Tech_11" id="63">
  <tableColumns count="4">
    <tableColumn name="Vị trí" id="1"/>
    <tableColumn name="Số lượng " id="2"/>
    <tableColumn name="Công việc tối thiểu(8h/ngày)" id="3"/>
    <tableColumn name="KPI" id="4"/>
  </tableColumns>
  <tableStyleInfo name="Tháng 11-style 4" showColumnStripes="0" showFirstColumn="1" showLastColumn="1" showRowStripes="1"/>
</table>
</file>

<file path=xl/tables/table64.xml><?xml version="1.0" encoding="utf-8"?>
<table xmlns="http://schemas.openxmlformats.org/spreadsheetml/2006/main" ref="A20:D23" displayName="OPS_11" name="OPS_11" id="64">
  <tableColumns count="4">
    <tableColumn name="Vị trí" id="1"/>
    <tableColumn name="Số lượng " id="2"/>
    <tableColumn name="Công việc tối thiểu(8h/ngày)" id="3"/>
    <tableColumn name="KPI" id="4"/>
  </tableColumns>
  <tableStyleInfo name="Tháng 11-style 5" showColumnStripes="0" showFirstColumn="1" showLastColumn="1" showRowStripes="1"/>
</table>
</file>

<file path=xl/tables/table65.xml><?xml version="1.0" encoding="utf-8"?>
<table xmlns="http://schemas.openxmlformats.org/spreadsheetml/2006/main" ref="A26:D28" displayName="Accountant_11" name="Accountant_11" id="65">
  <tableColumns count="4">
    <tableColumn name="Vị trí" id="1"/>
    <tableColumn name="Số lượng " id="2"/>
    <tableColumn name="Công việc tối thiểu(8h/ngày)" id="3"/>
    <tableColumn name="KPI" id="4"/>
  </tableColumns>
  <tableStyleInfo name="Tháng 11-style 6" showColumnStripes="0" showFirstColumn="1" showLastColumn="1" showRowStripes="1"/>
</table>
</file>

<file path=xl/tables/table66.xml><?xml version="1.0" encoding="utf-8"?>
<table xmlns="http://schemas.openxmlformats.org/spreadsheetml/2006/main" ref="A1:D5" displayName="Marketing_12" name="Marketing_12" id="66">
  <tableColumns count="4">
    <tableColumn name="Vị trí" id="1"/>
    <tableColumn name="Số lượng " id="2"/>
    <tableColumn name="Công việc tối thiểu(8h/ngày)" id="3"/>
    <tableColumn name="KPI" id="4"/>
  </tableColumns>
  <tableStyleInfo name="Tháng 12-style" showColumnStripes="0" showFirstColumn="1" showLastColumn="1" showRowStripes="1"/>
</table>
</file>

<file path=xl/tables/table67.xml><?xml version="1.0" encoding="utf-8"?>
<table xmlns="http://schemas.openxmlformats.org/spreadsheetml/2006/main" headerRowCount="0" ref="G3:J3" displayName="Table_12" name="Table_12" id="67">
  <tableColumns count="4">
    <tableColumn name="Column1" id="1"/>
    <tableColumn name="Column2" id="2"/>
    <tableColumn name="Column3" id="3"/>
    <tableColumn name="Column4" id="4"/>
  </tableColumns>
  <tableStyleInfo name="Tháng 12-style 2" showColumnStripes="0" showFirstColumn="1" showLastColumn="1" showRowStripes="1"/>
</table>
</file>

<file path=xl/tables/table68.xml><?xml version="1.0" encoding="utf-8"?>
<table xmlns="http://schemas.openxmlformats.org/spreadsheetml/2006/main" ref="A8:D11" displayName="Sales_12" name="Sales_12" id="68">
  <tableColumns count="4">
    <tableColumn name="Vị trí" id="1"/>
    <tableColumn name="Số lượng " id="2"/>
    <tableColumn name="Công việc tối thiểu(8h/ngày)" id="3"/>
    <tableColumn name="KPI" id="4"/>
  </tableColumns>
  <tableStyleInfo name="Tháng 12-style 3" showColumnStripes="0" showFirstColumn="1" showLastColumn="1" showRowStripes="1"/>
</table>
</file>

<file path=xl/tables/table69.xml><?xml version="1.0" encoding="utf-8"?>
<table xmlns="http://schemas.openxmlformats.org/spreadsheetml/2006/main" ref="A14:D17" displayName="Tech_12" name="Tech_12" id="69">
  <tableColumns count="4">
    <tableColumn name="Vị trí" id="1"/>
    <tableColumn name="Số lượng " id="2"/>
    <tableColumn name="Công việc tối thiểu(8h/ngày)" id="3"/>
    <tableColumn name="KPI" id="4"/>
  </tableColumns>
  <tableStyleInfo name="Tháng 12-style 4" showColumnStripes="0" showFirstColumn="1" showLastColumn="1" showRowStripes="1"/>
</table>
</file>

<file path=xl/tables/table70.xml><?xml version="1.0" encoding="utf-8"?>
<table xmlns="http://schemas.openxmlformats.org/spreadsheetml/2006/main" ref="A20:D23" displayName="OPS_12" name="OPS_12" id="70">
  <tableColumns count="4">
    <tableColumn name="Vị trí" id="1"/>
    <tableColumn name="Số lượng " id="2"/>
    <tableColumn name="Công việc tối thiểu(8h/ngày)" id="3"/>
    <tableColumn name="KPI" id="4"/>
  </tableColumns>
  <tableStyleInfo name="Tháng 12-style 5" showColumnStripes="0" showFirstColumn="1" showLastColumn="1" showRowStripes="1"/>
</table>
</file>

<file path=xl/tables/table71.xml><?xml version="1.0" encoding="utf-8"?>
<table xmlns="http://schemas.openxmlformats.org/spreadsheetml/2006/main" ref="A26:D28" displayName="Accountant_12" name="Accountant_12" id="71">
  <tableColumns count="4">
    <tableColumn name="Vị trí" id="1"/>
    <tableColumn name="Số lượng " id="2"/>
    <tableColumn name="Công việc tối thiểu(8h/ngày)" id="3"/>
    <tableColumn name="KPI" id="4"/>
  </tableColumns>
  <tableStyleInfo name="Tháng 12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13" Type="http://schemas.openxmlformats.org/officeDocument/2006/relationships/table" Target="../tables/table18.xml"/><Relationship Id="rId12" Type="http://schemas.openxmlformats.org/officeDocument/2006/relationships/table" Target="../tables/table17.xml"/><Relationship Id="rId9" Type="http://schemas.openxmlformats.org/officeDocument/2006/relationships/table" Target="../tables/table14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2.xml"/><Relationship Id="rId10" Type="http://schemas.openxmlformats.org/officeDocument/2006/relationships/table" Target="../tables/table21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9" Type="http://schemas.openxmlformats.org/officeDocument/2006/relationships/table" Target="../tables/table20.xml"/><Relationship Id="rId8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9.xml"/><Relationship Id="rId10" Type="http://schemas.openxmlformats.org/officeDocument/2006/relationships/table" Target="../tables/table28.xml"/><Relationship Id="rId9" Type="http://schemas.openxmlformats.org/officeDocument/2006/relationships/table" Target="../tables/table27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3.xml"/><Relationship Id="rId10" Type="http://schemas.openxmlformats.org/officeDocument/2006/relationships/table" Target="../tables/table32.xml"/><Relationship Id="rId13" Type="http://schemas.openxmlformats.org/officeDocument/2006/relationships/table" Target="../tables/table35.xml"/><Relationship Id="rId12" Type="http://schemas.openxmlformats.org/officeDocument/2006/relationships/table" Target="../tables/table34.xml"/><Relationship Id="rId9" Type="http://schemas.openxmlformats.org/officeDocument/2006/relationships/table" Target="../tables/table31.xml"/><Relationship Id="rId8" Type="http://schemas.openxmlformats.org/officeDocument/2006/relationships/table" Target="../tables/table3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39.xml"/><Relationship Id="rId10" Type="http://schemas.openxmlformats.org/officeDocument/2006/relationships/table" Target="../tables/table38.xml"/><Relationship Id="rId13" Type="http://schemas.openxmlformats.org/officeDocument/2006/relationships/table" Target="../tables/table41.xml"/><Relationship Id="rId12" Type="http://schemas.openxmlformats.org/officeDocument/2006/relationships/table" Target="../tables/table40.xml"/><Relationship Id="rId9" Type="http://schemas.openxmlformats.org/officeDocument/2006/relationships/table" Target="../tables/table37.xml"/><Relationship Id="rId8" Type="http://schemas.openxmlformats.org/officeDocument/2006/relationships/table" Target="../tables/table3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45.xml"/><Relationship Id="rId10" Type="http://schemas.openxmlformats.org/officeDocument/2006/relationships/table" Target="../tables/table44.xml"/><Relationship Id="rId13" Type="http://schemas.openxmlformats.org/officeDocument/2006/relationships/table" Target="../tables/table47.xml"/><Relationship Id="rId12" Type="http://schemas.openxmlformats.org/officeDocument/2006/relationships/table" Target="../tables/table46.xml"/><Relationship Id="rId9" Type="http://schemas.openxmlformats.org/officeDocument/2006/relationships/table" Target="../tables/table43.xml"/><Relationship Id="rId8" Type="http://schemas.openxmlformats.org/officeDocument/2006/relationships/table" Target="../tables/table4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51.xml"/><Relationship Id="rId10" Type="http://schemas.openxmlformats.org/officeDocument/2006/relationships/table" Target="../tables/table50.xml"/><Relationship Id="rId13" Type="http://schemas.openxmlformats.org/officeDocument/2006/relationships/table" Target="../tables/table53.xml"/><Relationship Id="rId12" Type="http://schemas.openxmlformats.org/officeDocument/2006/relationships/table" Target="../tables/table52.xml"/><Relationship Id="rId9" Type="http://schemas.openxmlformats.org/officeDocument/2006/relationships/table" Target="../tables/table49.xml"/><Relationship Id="rId8" Type="http://schemas.openxmlformats.org/officeDocument/2006/relationships/table" Target="../tables/table4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57.xml"/><Relationship Id="rId10" Type="http://schemas.openxmlformats.org/officeDocument/2006/relationships/table" Target="../tables/table56.xml"/><Relationship Id="rId13" Type="http://schemas.openxmlformats.org/officeDocument/2006/relationships/table" Target="../tables/table59.xml"/><Relationship Id="rId12" Type="http://schemas.openxmlformats.org/officeDocument/2006/relationships/table" Target="../tables/table58.xml"/><Relationship Id="rId9" Type="http://schemas.openxmlformats.org/officeDocument/2006/relationships/table" Target="../tables/table55.xml"/><Relationship Id="rId8" Type="http://schemas.openxmlformats.org/officeDocument/2006/relationships/table" Target="../tables/table5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63.xml"/><Relationship Id="rId10" Type="http://schemas.openxmlformats.org/officeDocument/2006/relationships/table" Target="../tables/table62.xml"/><Relationship Id="rId13" Type="http://schemas.openxmlformats.org/officeDocument/2006/relationships/table" Target="../tables/table65.xml"/><Relationship Id="rId12" Type="http://schemas.openxmlformats.org/officeDocument/2006/relationships/table" Target="../tables/table64.xml"/><Relationship Id="rId9" Type="http://schemas.openxmlformats.org/officeDocument/2006/relationships/table" Target="../tables/table61.xml"/><Relationship Id="rId8" Type="http://schemas.openxmlformats.org/officeDocument/2006/relationships/table" Target="../tables/table6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69.xml"/><Relationship Id="rId10" Type="http://schemas.openxmlformats.org/officeDocument/2006/relationships/table" Target="../tables/table68.xml"/><Relationship Id="rId13" Type="http://schemas.openxmlformats.org/officeDocument/2006/relationships/table" Target="../tables/table71.xml"/><Relationship Id="rId12" Type="http://schemas.openxmlformats.org/officeDocument/2006/relationships/table" Target="../tables/table70.xml"/><Relationship Id="rId9" Type="http://schemas.openxmlformats.org/officeDocument/2006/relationships/table" Target="../tables/table67.xml"/><Relationship Id="rId8" Type="http://schemas.openxmlformats.org/officeDocument/2006/relationships/table" Target="../tables/table6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6</v>
      </c>
    </row>
    <row r="3" ht="22.5" customHeight="1">
      <c r="A3" s="3" t="s">
        <v>7</v>
      </c>
      <c r="B3" s="4">
        <v>3.0</v>
      </c>
      <c r="C3" s="3" t="s">
        <v>8</v>
      </c>
      <c r="D3" s="3" t="s">
        <v>9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12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15</v>
      </c>
    </row>
    <row r="6">
      <c r="B6" s="6"/>
    </row>
    <row r="8" ht="22.5" customHeight="1">
      <c r="A8" s="1" t="s">
        <v>0</v>
      </c>
      <c r="B8" s="2" t="s">
        <v>1</v>
      </c>
      <c r="C8" s="2" t="s">
        <v>2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18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21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24</v>
      </c>
    </row>
    <row r="14" ht="22.5" customHeight="1">
      <c r="A14" s="1" t="s">
        <v>0</v>
      </c>
      <c r="B14" s="2" t="s">
        <v>1</v>
      </c>
      <c r="C14" s="2" t="s">
        <v>2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27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30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33</v>
      </c>
    </row>
    <row r="20" ht="22.5" customHeight="1">
      <c r="A20" s="1" t="s">
        <v>0</v>
      </c>
      <c r="B20" s="2" t="s">
        <v>1</v>
      </c>
      <c r="C20" s="2" t="s">
        <v>2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42</v>
      </c>
    </row>
    <row r="26" ht="22.5" customHeight="1">
      <c r="A26" s="1" t="s">
        <v>0</v>
      </c>
      <c r="B26" s="2" t="s">
        <v>1</v>
      </c>
      <c r="C26" s="2" t="s">
        <v>2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49</v>
      </c>
    </row>
    <row r="3" ht="22.5" customHeight="1">
      <c r="A3" s="3" t="s">
        <v>7</v>
      </c>
      <c r="B3" s="4">
        <v>3.0</v>
      </c>
      <c r="C3" s="3" t="s">
        <v>8</v>
      </c>
      <c r="D3" s="3" t="s">
        <v>50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51</v>
      </c>
    </row>
    <row r="5" ht="22.5" customHeight="1">
      <c r="A5" s="3" t="s">
        <v>13</v>
      </c>
      <c r="B5" s="4">
        <v>2.0</v>
      </c>
      <c r="C5" s="3" t="s">
        <v>14</v>
      </c>
      <c r="D5" s="3" t="s">
        <v>52</v>
      </c>
    </row>
    <row r="6">
      <c r="B6" s="6"/>
    </row>
    <row r="8" ht="22.5" customHeight="1">
      <c r="A8" s="1" t="s">
        <v>0</v>
      </c>
      <c r="B8" s="2" t="s">
        <v>1</v>
      </c>
      <c r="C8" s="2" t="s">
        <v>2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53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54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55</v>
      </c>
    </row>
    <row r="14" ht="22.5" customHeight="1">
      <c r="A14" s="1" t="s">
        <v>0</v>
      </c>
      <c r="B14" s="2" t="s">
        <v>1</v>
      </c>
      <c r="C14" s="2" t="s">
        <v>2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27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56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33</v>
      </c>
    </row>
    <row r="20" ht="22.5" customHeight="1">
      <c r="A20" s="1" t="s">
        <v>0</v>
      </c>
      <c r="B20" s="2" t="s">
        <v>1</v>
      </c>
      <c r="C20" s="2" t="s">
        <v>2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42</v>
      </c>
    </row>
    <row r="26" ht="22.5" customHeight="1">
      <c r="A26" s="1" t="s">
        <v>0</v>
      </c>
      <c r="B26" s="2" t="s">
        <v>1</v>
      </c>
      <c r="C26" s="2" t="s">
        <v>2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58</v>
      </c>
    </row>
    <row r="3" ht="22.5" customHeight="1">
      <c r="A3" s="3" t="s">
        <v>7</v>
      </c>
      <c r="B3" s="4">
        <v>3.0</v>
      </c>
      <c r="C3" s="3" t="s">
        <v>8</v>
      </c>
      <c r="D3" s="3" t="s">
        <v>59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60</v>
      </c>
    </row>
    <row r="5" ht="22.5" customHeight="1">
      <c r="A5" s="3" t="s">
        <v>13</v>
      </c>
      <c r="B5" s="4">
        <v>2.0</v>
      </c>
      <c r="C5" s="3" t="s">
        <v>14</v>
      </c>
      <c r="D5" s="3" t="s">
        <v>61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62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63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64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27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65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33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42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66</v>
      </c>
    </row>
    <row r="3" ht="22.5" customHeight="1">
      <c r="A3" s="3" t="s">
        <v>7</v>
      </c>
      <c r="B3" s="4">
        <v>3.0</v>
      </c>
      <c r="C3" s="3" t="s">
        <v>8</v>
      </c>
      <c r="D3" s="3" t="s">
        <v>67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68</v>
      </c>
    </row>
    <row r="5" ht="22.5" customHeight="1">
      <c r="A5" s="3" t="s">
        <v>13</v>
      </c>
      <c r="B5" s="4">
        <v>2.0</v>
      </c>
      <c r="C5" s="3" t="s">
        <v>14</v>
      </c>
      <c r="D5" s="3" t="s">
        <v>69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70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63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71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27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72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33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42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6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  <c r="E1" s="1" t="s">
        <v>73</v>
      </c>
      <c r="F1" s="1" t="s">
        <v>74</v>
      </c>
    </row>
    <row r="2" ht="51.75" customHeight="1">
      <c r="A2" s="3" t="s">
        <v>4</v>
      </c>
      <c r="B2" s="4">
        <v>1.0</v>
      </c>
      <c r="C2" s="3" t="s">
        <v>5</v>
      </c>
      <c r="D2" s="3" t="s">
        <v>75</v>
      </c>
      <c r="E2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3" ht="22.5" customHeight="1">
      <c r="A3" s="3" t="s">
        <v>7</v>
      </c>
      <c r="B3" s="4">
        <v>3.0</v>
      </c>
      <c r="C3" s="3" t="s">
        <v>8</v>
      </c>
      <c r="D3" s="3" t="s">
        <v>76</v>
      </c>
      <c r="E3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3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  <c r="I3" s="5"/>
      <c r="J3" s="5"/>
    </row>
    <row r="4" ht="22.5" customHeight="1">
      <c r="A4" s="3" t="s">
        <v>10</v>
      </c>
      <c r="B4" s="4">
        <v>4.0</v>
      </c>
      <c r="C4" s="3" t="s">
        <v>11</v>
      </c>
      <c r="D4" s="3" t="s">
        <v>77</v>
      </c>
      <c r="E4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4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5" ht="22.5" customHeight="1">
      <c r="A5" s="3" t="s">
        <v>13</v>
      </c>
      <c r="B5" s="4">
        <v>2.0</v>
      </c>
      <c r="C5" s="3" t="s">
        <v>14</v>
      </c>
      <c r="D5" s="3" t="s">
        <v>78</v>
      </c>
      <c r="E5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5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6">
      <c r="B6" s="6"/>
      <c r="E6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6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7">
      <c r="E7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7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  <c r="E8" s="2" t="s">
        <v>79</v>
      </c>
      <c r="F8" s="2" t="s">
        <v>80</v>
      </c>
    </row>
    <row r="9" ht="22.5" customHeight="1">
      <c r="A9" s="3" t="s">
        <v>16</v>
      </c>
      <c r="B9" s="4">
        <v>1.0</v>
      </c>
      <c r="C9" s="3" t="s">
        <v>17</v>
      </c>
      <c r="D9" s="3" t="s">
        <v>81</v>
      </c>
      <c r="E9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9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82</v>
      </c>
      <c r="E10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0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1" ht="22.5" customHeight="1">
      <c r="A11" s="3" t="s">
        <v>22</v>
      </c>
      <c r="B11" s="4">
        <v>4.0</v>
      </c>
      <c r="C11" s="3" t="s">
        <v>23</v>
      </c>
      <c r="D11" s="3" t="s">
        <v>83</v>
      </c>
      <c r="E11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1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2">
      <c r="E12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2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3">
      <c r="E13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3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  <c r="E14" s="2" t="s">
        <v>79</v>
      </c>
      <c r="F14" s="2" t="s">
        <v>80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84</v>
      </c>
      <c r="E15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5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85</v>
      </c>
      <c r="E16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6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33</v>
      </c>
      <c r="E17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7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8">
      <c r="E18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8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19">
      <c r="E19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19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  <c r="E20" s="2" t="s">
        <v>79</v>
      </c>
      <c r="F20" s="2" t="s">
        <v>80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  <c r="E21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1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22" ht="22.5" customHeight="1">
      <c r="A22" s="3" t="s">
        <v>37</v>
      </c>
      <c r="B22" s="4">
        <v>2.0</v>
      </c>
      <c r="C22" s="3" t="s">
        <v>38</v>
      </c>
      <c r="D22" s="3" t="s">
        <v>39</v>
      </c>
      <c r="E22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2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23" ht="22.5" customHeight="1">
      <c r="A23" s="3" t="s">
        <v>40</v>
      </c>
      <c r="B23" s="4">
        <v>2.0</v>
      </c>
      <c r="C23" s="3" t="s">
        <v>41</v>
      </c>
      <c r="D23" s="3" t="s">
        <v>42</v>
      </c>
      <c r="E23" s="7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3" s="7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24">
      <c r="E24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4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  <row r="25">
      <c r="E25" s="8" t="str">
        <f>IFS(A2="Manager", 25000000, A2="Performance", 15000000, A2="Content", 12000000, A2="Creative", 14000000, A2="Team lead", 20000000, A2="Defendence", 12000000, A2="Sales member", 8000000, A2="Automation", 22000000, A2="Fullstack", 25000000, A2="Devops", 28000000, A2="Ops manager", 22000000, A2="Delivery", 12000000, A2="Support", 10000000, A2="Kế toán tổng ", 18000000, A2="Kế toán công nợ", 14000000, A2="Vị trí", "Lương cơ bản (VNĐ)", TRUE, "")</f>
        <v>#ERROR!</v>
      </c>
      <c r="F25" s="8" t="str">
        <f>IFS(A2="Manager", 5000000, A2="Performance", 3000000, A2="Content", 2000000, A2="Creative", 2500000, A2="Team lead", 10000000, A2="Defendence", 3000000, A2="Sales member", 15000000, A2="Automation", 4000000, A2="Fullstack", 5000000, A2="Devops", 6000000, A2="Ops manager", 4000000, A2="Delivery", 2000000, A2="Support", 1500000, A2="Kế toán tổng ", 2000000, A2="Kế toán công nợ", 1500000, A2="Vị trí", "Thưởng KPI (VNĐ)", TRUE, "")</f>
        <v>#ERROR!</v>
      </c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86</v>
      </c>
    </row>
    <row r="3" ht="22.5" customHeight="1">
      <c r="A3" s="3" t="s">
        <v>7</v>
      </c>
      <c r="B3" s="4">
        <v>3.0</v>
      </c>
      <c r="C3" s="3" t="s">
        <v>8</v>
      </c>
      <c r="D3" s="3" t="s">
        <v>87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88</v>
      </c>
    </row>
    <row r="5" ht="22.5" customHeight="1">
      <c r="A5" s="3" t="s">
        <v>13</v>
      </c>
      <c r="B5" s="4">
        <v>2.0</v>
      </c>
      <c r="C5" s="3" t="s">
        <v>14</v>
      </c>
      <c r="D5" s="3" t="s">
        <v>78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89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82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90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84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91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93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94</v>
      </c>
    </row>
    <row r="3" ht="22.5" customHeight="1">
      <c r="A3" s="3" t="s">
        <v>7</v>
      </c>
      <c r="B3" s="4">
        <v>3.0</v>
      </c>
      <c r="C3" s="3" t="s">
        <v>8</v>
      </c>
      <c r="D3" s="3" t="s">
        <v>95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96</v>
      </c>
    </row>
    <row r="5" ht="22.5" customHeight="1">
      <c r="A5" s="3" t="s">
        <v>13</v>
      </c>
      <c r="B5" s="4">
        <v>2.0</v>
      </c>
      <c r="C5" s="3" t="s">
        <v>14</v>
      </c>
      <c r="D5" s="3" t="s">
        <v>97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98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99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100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84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101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93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102</v>
      </c>
    </row>
    <row r="3" ht="22.5" customHeight="1">
      <c r="A3" s="3" t="s">
        <v>7</v>
      </c>
      <c r="B3" s="4">
        <v>3.0</v>
      </c>
      <c r="C3" s="3" t="s">
        <v>8</v>
      </c>
      <c r="D3" s="3" t="s">
        <v>103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104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105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106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99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107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108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109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93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110</v>
      </c>
    </row>
    <row r="3" ht="22.5" customHeight="1">
      <c r="A3" s="3" t="s">
        <v>7</v>
      </c>
      <c r="B3" s="4">
        <v>3.0</v>
      </c>
      <c r="C3" s="3" t="s">
        <v>8</v>
      </c>
      <c r="D3" s="3" t="s">
        <v>111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112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113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114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115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116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108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117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118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119</v>
      </c>
    </row>
    <row r="3" ht="22.5" customHeight="1">
      <c r="A3" s="3" t="s">
        <v>7</v>
      </c>
      <c r="B3" s="4">
        <v>3.0</v>
      </c>
      <c r="C3" s="3" t="s">
        <v>8</v>
      </c>
      <c r="D3" s="3" t="s">
        <v>120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121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122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123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124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125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108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126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118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127</v>
      </c>
    </row>
    <row r="3" ht="22.5" customHeight="1">
      <c r="A3" s="3" t="s">
        <v>7</v>
      </c>
      <c r="B3" s="4">
        <v>3.0</v>
      </c>
      <c r="C3" s="3" t="s">
        <v>8</v>
      </c>
      <c r="D3" s="3" t="s">
        <v>128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129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130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131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132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133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134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135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92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118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75"/>
    <col customWidth="1" min="3" max="3" width="38.5"/>
    <col customWidth="1" min="4" max="4" width="39.63"/>
  </cols>
  <sheetData>
    <row r="1" ht="24.0" customHeight="1">
      <c r="A1" s="1" t="s">
        <v>0</v>
      </c>
      <c r="B1" s="2" t="s">
        <v>1</v>
      </c>
      <c r="C1" s="2" t="s">
        <v>57</v>
      </c>
      <c r="D1" s="1" t="s">
        <v>3</v>
      </c>
    </row>
    <row r="2" ht="51.75" customHeight="1">
      <c r="A2" s="3" t="s">
        <v>4</v>
      </c>
      <c r="B2" s="4">
        <v>1.0</v>
      </c>
      <c r="C2" s="3" t="s">
        <v>5</v>
      </c>
      <c r="D2" s="3" t="s">
        <v>136</v>
      </c>
    </row>
    <row r="3" ht="22.5" customHeight="1">
      <c r="A3" s="3" t="s">
        <v>7</v>
      </c>
      <c r="B3" s="4">
        <v>3.0</v>
      </c>
      <c r="C3" s="3" t="s">
        <v>8</v>
      </c>
      <c r="D3" s="3" t="s">
        <v>137</v>
      </c>
      <c r="G3" s="5"/>
      <c r="H3" s="5"/>
    </row>
    <row r="4" ht="22.5" customHeight="1">
      <c r="A4" s="3" t="s">
        <v>10</v>
      </c>
      <c r="B4" s="4">
        <v>4.0</v>
      </c>
      <c r="C4" s="3" t="s">
        <v>11</v>
      </c>
      <c r="D4" s="3" t="s">
        <v>138</v>
      </c>
    </row>
    <row r="5" ht="22.5" customHeight="1">
      <c r="A5" s="3" t="s">
        <v>13</v>
      </c>
      <c r="B5" s="4">
        <v>2.0</v>
      </c>
      <c r="C5" s="3" t="s">
        <v>14</v>
      </c>
      <c r="D5" s="3" t="s">
        <v>139</v>
      </c>
    </row>
    <row r="6">
      <c r="B6" s="6"/>
    </row>
    <row r="8" ht="22.5" customHeight="1">
      <c r="A8" s="1" t="s">
        <v>0</v>
      </c>
      <c r="B8" s="2" t="s">
        <v>1</v>
      </c>
      <c r="C8" s="2" t="s">
        <v>57</v>
      </c>
      <c r="D8" s="1" t="s">
        <v>3</v>
      </c>
    </row>
    <row r="9" ht="22.5" customHeight="1">
      <c r="A9" s="3" t="s">
        <v>16</v>
      </c>
      <c r="B9" s="4">
        <v>1.0</v>
      </c>
      <c r="C9" s="3" t="s">
        <v>17</v>
      </c>
      <c r="D9" s="3" t="s">
        <v>140</v>
      </c>
    </row>
    <row r="10" ht="22.5" customHeight="1">
      <c r="A10" s="3" t="s">
        <v>19</v>
      </c>
      <c r="B10" s="4">
        <v>1.0</v>
      </c>
      <c r="C10" s="3" t="s">
        <v>20</v>
      </c>
      <c r="D10" s="3" t="s">
        <v>141</v>
      </c>
    </row>
    <row r="11" ht="22.5" customHeight="1">
      <c r="A11" s="3" t="s">
        <v>22</v>
      </c>
      <c r="B11" s="4">
        <v>3.0</v>
      </c>
      <c r="C11" s="3" t="s">
        <v>23</v>
      </c>
      <c r="D11" s="3" t="s">
        <v>142</v>
      </c>
    </row>
    <row r="14" ht="22.5" customHeight="1">
      <c r="A14" s="1" t="s">
        <v>0</v>
      </c>
      <c r="B14" s="2" t="s">
        <v>1</v>
      </c>
      <c r="C14" s="2" t="s">
        <v>57</v>
      </c>
      <c r="D14" s="1" t="s">
        <v>3</v>
      </c>
    </row>
    <row r="15" ht="22.5" customHeight="1">
      <c r="A15" s="3" t="s">
        <v>25</v>
      </c>
      <c r="B15" s="4">
        <v>3.0</v>
      </c>
      <c r="C15" s="3" t="s">
        <v>26</v>
      </c>
      <c r="D15" s="3" t="s">
        <v>134</v>
      </c>
    </row>
    <row r="16" ht="22.5" customHeight="1">
      <c r="A16" s="3" t="s">
        <v>28</v>
      </c>
      <c r="B16" s="4">
        <v>5.0</v>
      </c>
      <c r="C16" s="3" t="s">
        <v>29</v>
      </c>
      <c r="D16" s="3" t="s">
        <v>143</v>
      </c>
    </row>
    <row r="17" ht="22.5" customHeight="1">
      <c r="A17" s="3" t="s">
        <v>31</v>
      </c>
      <c r="B17" s="4">
        <v>2.0</v>
      </c>
      <c r="C17" s="3" t="s">
        <v>32</v>
      </c>
      <c r="D17" s="3" t="s">
        <v>144</v>
      </c>
    </row>
    <row r="20" ht="22.5" customHeight="1">
      <c r="A20" s="1" t="s">
        <v>0</v>
      </c>
      <c r="B20" s="2" t="s">
        <v>1</v>
      </c>
      <c r="C20" s="2" t="s">
        <v>57</v>
      </c>
      <c r="D20" s="1" t="s">
        <v>3</v>
      </c>
    </row>
    <row r="21" ht="22.5" customHeight="1">
      <c r="A21" s="3" t="s">
        <v>34</v>
      </c>
      <c r="B21" s="4">
        <v>1.0</v>
      </c>
      <c r="C21" s="3" t="s">
        <v>35</v>
      </c>
      <c r="D21" s="3" t="s">
        <v>36</v>
      </c>
    </row>
    <row r="22" ht="22.5" customHeight="1">
      <c r="A22" s="3" t="s">
        <v>37</v>
      </c>
      <c r="B22" s="4">
        <v>1.0</v>
      </c>
      <c r="C22" s="3" t="s">
        <v>38</v>
      </c>
      <c r="D22" s="3" t="s">
        <v>39</v>
      </c>
    </row>
    <row r="23" ht="22.5" customHeight="1">
      <c r="A23" s="3" t="s">
        <v>40</v>
      </c>
      <c r="B23" s="4">
        <v>1.0</v>
      </c>
      <c r="C23" s="3" t="s">
        <v>41</v>
      </c>
      <c r="D23" s="3" t="s">
        <v>145</v>
      </c>
    </row>
    <row r="26" ht="22.5" customHeight="1">
      <c r="A26" s="1" t="s">
        <v>0</v>
      </c>
      <c r="B26" s="2" t="s">
        <v>1</v>
      </c>
      <c r="C26" s="2" t="s">
        <v>57</v>
      </c>
      <c r="D26" s="1" t="s">
        <v>3</v>
      </c>
    </row>
    <row r="27" ht="22.5" customHeight="1">
      <c r="A27" s="3" t="s">
        <v>43</v>
      </c>
      <c r="B27" s="4">
        <v>1.0</v>
      </c>
      <c r="C27" s="3" t="s">
        <v>44</v>
      </c>
      <c r="D27" s="3" t="s">
        <v>45</v>
      </c>
    </row>
    <row r="28" ht="22.5" customHeight="1">
      <c r="A28" s="3" t="s">
        <v>46</v>
      </c>
      <c r="B28" s="4">
        <v>1.0</v>
      </c>
      <c r="C28" s="3" t="s">
        <v>47</v>
      </c>
      <c r="D28" s="3" t="s">
        <v>48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