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guyen\Downloads\"/>
    </mc:Choice>
  </mc:AlternateContent>
  <xr:revisionPtr revIDLastSave="0" documentId="13_ncr:1_{010D8372-825A-47BB-828B-8ECD9286E5F2}" xr6:coauthVersionLast="47" xr6:coauthVersionMax="47" xr10:uidLastSave="{00000000-0000-0000-0000-000000000000}"/>
  <bookViews>
    <workbookView xWindow="-110" yWindow="-110" windowWidth="19420" windowHeight="12220" activeTab="4" xr2:uid="{00000000-000D-0000-FFFF-FFFF00000000}"/>
  </bookViews>
  <sheets>
    <sheet name="Financial Model" sheetId="1" r:id="rId1"/>
    <sheet name="Assumptions" sheetId="2" r:id="rId2"/>
    <sheet name="Dau_vao" sheetId="3" r:id="rId3"/>
    <sheet name="Luong_theo_ban" sheetId="4" r:id="rId4"/>
    <sheet name="KPI_theo_b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  <c r="C59" i="5"/>
  <c r="D181" i="4"/>
  <c r="D180" i="4"/>
  <c r="D179" i="4"/>
  <c r="D178" i="4"/>
  <c r="D177" i="4"/>
  <c r="D176" i="4"/>
  <c r="D175" i="4"/>
  <c r="D174" i="4"/>
  <c r="D173" i="4"/>
  <c r="D172" i="4"/>
  <c r="D171" i="4"/>
  <c r="C58" i="5" s="1"/>
  <c r="D170" i="4"/>
  <c r="D169" i="4"/>
  <c r="D168" i="4"/>
  <c r="C57" i="5" s="1"/>
  <c r="D167" i="4"/>
  <c r="D166" i="4"/>
  <c r="D165" i="4"/>
  <c r="D164" i="4"/>
  <c r="D163" i="4"/>
  <c r="C56" i="5" s="1"/>
  <c r="D162" i="4"/>
  <c r="D161" i="4"/>
  <c r="D160" i="4"/>
  <c r="D159" i="4"/>
  <c r="D158" i="4"/>
  <c r="D157" i="4"/>
  <c r="D156" i="4"/>
  <c r="D155" i="4"/>
  <c r="D154" i="4"/>
  <c r="D153" i="4"/>
  <c r="D152" i="4"/>
  <c r="C52" i="5" s="1"/>
  <c r="D151" i="4"/>
  <c r="D150" i="4"/>
  <c r="D149" i="4"/>
  <c r="D148" i="4"/>
  <c r="C51" i="5" s="1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C45" i="5" s="1"/>
  <c r="D129" i="4"/>
  <c r="C44" i="5" s="1"/>
  <c r="D128" i="4"/>
  <c r="D127" i="4"/>
  <c r="D126" i="4"/>
  <c r="D125" i="4"/>
  <c r="D124" i="4"/>
  <c r="D123" i="4"/>
  <c r="D122" i="4"/>
  <c r="C42" i="5" s="1"/>
  <c r="D121" i="4"/>
  <c r="D120" i="4"/>
  <c r="C41" i="5" s="1"/>
  <c r="D119" i="4"/>
  <c r="D118" i="4"/>
  <c r="D117" i="4"/>
  <c r="D116" i="4"/>
  <c r="D115" i="4"/>
  <c r="C40" i="5" s="1"/>
  <c r="D114" i="4"/>
  <c r="C39" i="5" s="1"/>
  <c r="D113" i="4"/>
  <c r="D112" i="4"/>
  <c r="D111" i="4"/>
  <c r="D110" i="4"/>
  <c r="D109" i="4"/>
  <c r="D108" i="4"/>
  <c r="D107" i="4"/>
  <c r="C37" i="5" s="1"/>
  <c r="D106" i="4"/>
  <c r="D105" i="4"/>
  <c r="D104" i="4"/>
  <c r="C36" i="5" s="1"/>
  <c r="D103" i="4"/>
  <c r="D102" i="4"/>
  <c r="C35" i="5" s="1"/>
  <c r="D101" i="4"/>
  <c r="D100" i="4"/>
  <c r="D99" i="4"/>
  <c r="C34" i="5" s="1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C29" i="5" s="1"/>
  <c r="D83" i="4"/>
  <c r="D82" i="4"/>
  <c r="D81" i="4"/>
  <c r="D80" i="4"/>
  <c r="D79" i="4"/>
  <c r="D78" i="4"/>
  <c r="D77" i="4"/>
  <c r="D76" i="4"/>
  <c r="D75" i="4"/>
  <c r="D74" i="4"/>
  <c r="D73" i="4"/>
  <c r="C26" i="5" s="1"/>
  <c r="D72" i="4"/>
  <c r="C25" i="5" s="1"/>
  <c r="D71" i="4"/>
  <c r="D70" i="4"/>
  <c r="D69" i="4"/>
  <c r="C24" i="5" s="1"/>
  <c r="D68" i="4"/>
  <c r="D67" i="4"/>
  <c r="D66" i="4"/>
  <c r="D65" i="4"/>
  <c r="D64" i="4"/>
  <c r="D63" i="4"/>
  <c r="D62" i="4"/>
  <c r="D61" i="4"/>
  <c r="D60" i="4"/>
  <c r="D59" i="4"/>
  <c r="D58" i="4"/>
  <c r="C21" i="5" s="1"/>
  <c r="D57" i="4"/>
  <c r="D56" i="4"/>
  <c r="C20" i="5" s="1"/>
  <c r="D55" i="4"/>
  <c r="D54" i="4"/>
  <c r="C19" i="5" s="1"/>
  <c r="D53" i="4"/>
  <c r="D52" i="4"/>
  <c r="D51" i="4"/>
  <c r="C18" i="5" s="1"/>
  <c r="D50" i="4"/>
  <c r="D49" i="4"/>
  <c r="D48" i="4"/>
  <c r="D47" i="4"/>
  <c r="D46" i="4"/>
  <c r="D45" i="4"/>
  <c r="D44" i="4"/>
  <c r="D43" i="4"/>
  <c r="C16" i="5" s="1"/>
  <c r="D42" i="4"/>
  <c r="D41" i="4"/>
  <c r="D40" i="4"/>
  <c r="D39" i="4"/>
  <c r="C14" i="5" s="1"/>
  <c r="D38" i="4"/>
  <c r="D37" i="4"/>
  <c r="D36" i="4"/>
  <c r="D35" i="4"/>
  <c r="D34" i="4"/>
  <c r="C12" i="5" s="1"/>
  <c r="D33" i="4"/>
  <c r="D32" i="4"/>
  <c r="D31" i="4"/>
  <c r="D30" i="4"/>
  <c r="D29" i="4"/>
  <c r="D28" i="4"/>
  <c r="D27" i="4"/>
  <c r="D26" i="4"/>
  <c r="D25" i="4"/>
  <c r="C10" i="5" s="1"/>
  <c r="D24" i="4"/>
  <c r="C9" i="5" s="1"/>
  <c r="D23" i="4"/>
  <c r="D22" i="4"/>
  <c r="D21" i="4"/>
  <c r="D20" i="4"/>
  <c r="D19" i="4"/>
  <c r="D18" i="4"/>
  <c r="D17" i="4"/>
  <c r="D16" i="4"/>
  <c r="D15" i="4"/>
  <c r="D14" i="4"/>
  <c r="D13" i="4"/>
  <c r="C6" i="5" s="1"/>
  <c r="D12" i="4"/>
  <c r="D11" i="4"/>
  <c r="D10" i="4"/>
  <c r="D9" i="4"/>
  <c r="C4" i="5" s="1"/>
  <c r="D8" i="4"/>
  <c r="D7" i="4"/>
  <c r="D6" i="4"/>
  <c r="D5" i="4"/>
  <c r="D4" i="4"/>
  <c r="D3" i="4"/>
  <c r="D2" i="4"/>
  <c r="B4" i="3"/>
  <c r="D13" i="3" s="1"/>
  <c r="B3" i="3"/>
  <c r="B2" i="3"/>
  <c r="C2" i="1"/>
  <c r="B2" i="1"/>
  <c r="B3" i="1" s="1"/>
  <c r="E3" i="1" s="1"/>
  <c r="C47" i="5" l="1"/>
  <c r="C7" i="5"/>
  <c r="C28" i="5"/>
  <c r="C50" i="5"/>
  <c r="C61" i="5"/>
  <c r="C30" i="5"/>
  <c r="C8" i="5"/>
  <c r="C53" i="5"/>
  <c r="D24" i="3"/>
  <c r="E61" i="4" s="1"/>
  <c r="E170" i="4"/>
  <c r="E80" i="4"/>
  <c r="E140" i="4"/>
  <c r="E95" i="4"/>
  <c r="E110" i="4"/>
  <c r="E65" i="4"/>
  <c r="E125" i="4"/>
  <c r="E35" i="4"/>
  <c r="E50" i="4"/>
  <c r="E20" i="4"/>
  <c r="E5" i="4"/>
  <c r="E155" i="4"/>
  <c r="C27" i="5"/>
  <c r="D18" i="3"/>
  <c r="C15" i="5"/>
  <c r="D17" i="3"/>
  <c r="D20" i="3"/>
  <c r="C33" i="5"/>
  <c r="C31" i="5"/>
  <c r="D21" i="3"/>
  <c r="C22" i="5"/>
  <c r="C17" i="5"/>
  <c r="D22" i="3"/>
  <c r="E22" i="3"/>
  <c r="D3" i="1"/>
  <c r="C3" i="1"/>
  <c r="C2" i="5"/>
  <c r="C46" i="5"/>
  <c r="C48" i="5"/>
  <c r="B4" i="1"/>
  <c r="C43" i="5"/>
  <c r="D12" i="3"/>
  <c r="C38" i="5"/>
  <c r="E21" i="3"/>
  <c r="E13" i="3"/>
  <c r="E20" i="3"/>
  <c r="E12" i="3"/>
  <c r="E19" i="3"/>
  <c r="E11" i="3"/>
  <c r="D19" i="3"/>
  <c r="D11" i="3"/>
  <c r="E18" i="3"/>
  <c r="E10" i="3"/>
  <c r="E24" i="3"/>
  <c r="E16" i="3"/>
  <c r="E23" i="3"/>
  <c r="E15" i="3"/>
  <c r="D23" i="3"/>
  <c r="D15" i="3"/>
  <c r="C3" i="5"/>
  <c r="D10" i="3"/>
  <c r="D14" i="3"/>
  <c r="C23" i="5"/>
  <c r="E14" i="3"/>
  <c r="C13" i="5"/>
  <c r="C54" i="5"/>
  <c r="C60" i="5"/>
  <c r="D16" i="3"/>
  <c r="C49" i="5"/>
  <c r="C55" i="5"/>
  <c r="E17" i="3"/>
  <c r="C5" i="5"/>
  <c r="C11" i="5"/>
  <c r="C32" i="5"/>
  <c r="E181" i="4" l="1"/>
  <c r="E76" i="4"/>
  <c r="E31" i="4"/>
  <c r="E166" i="4"/>
  <c r="E106" i="4"/>
  <c r="E16" i="4"/>
  <c r="E121" i="4"/>
  <c r="E151" i="4"/>
  <c r="E91" i="4"/>
  <c r="E46" i="4"/>
  <c r="E136" i="4"/>
  <c r="F131" i="4"/>
  <c r="F41" i="4"/>
  <c r="F146" i="4"/>
  <c r="F11" i="4"/>
  <c r="F161" i="4"/>
  <c r="F116" i="4"/>
  <c r="F176" i="4"/>
  <c r="F101" i="4"/>
  <c r="F71" i="4"/>
  <c r="F56" i="4"/>
  <c r="F86" i="4"/>
  <c r="F26" i="4"/>
  <c r="F115" i="4"/>
  <c r="F25" i="4"/>
  <c r="F130" i="4"/>
  <c r="F175" i="4"/>
  <c r="F145" i="4"/>
  <c r="F100" i="4"/>
  <c r="F160" i="4"/>
  <c r="F40" i="4"/>
  <c r="F85" i="4"/>
  <c r="F70" i="4"/>
  <c r="F55" i="4"/>
  <c r="F10" i="4"/>
  <c r="E144" i="4"/>
  <c r="E54" i="4"/>
  <c r="E9" i="4"/>
  <c r="E159" i="4"/>
  <c r="E24" i="4"/>
  <c r="E174" i="4"/>
  <c r="E129" i="4"/>
  <c r="E114" i="4"/>
  <c r="E99" i="4"/>
  <c r="E39" i="4"/>
  <c r="E84" i="4"/>
  <c r="E69" i="4"/>
  <c r="E55" i="4"/>
  <c r="E10" i="4"/>
  <c r="E160" i="4"/>
  <c r="E70" i="4"/>
  <c r="E175" i="4"/>
  <c r="E25" i="4"/>
  <c r="E85" i="4"/>
  <c r="E40" i="4"/>
  <c r="E145" i="4"/>
  <c r="E130" i="4"/>
  <c r="E115" i="4"/>
  <c r="E100" i="4"/>
  <c r="F147" i="4"/>
  <c r="F57" i="4"/>
  <c r="F12" i="4"/>
  <c r="F162" i="4"/>
  <c r="F27" i="4"/>
  <c r="F177" i="4"/>
  <c r="F132" i="4"/>
  <c r="F42" i="4"/>
  <c r="F72" i="4"/>
  <c r="F102" i="4"/>
  <c r="F87" i="4"/>
  <c r="F117" i="4"/>
  <c r="F170" i="4"/>
  <c r="G170" i="4" s="1"/>
  <c r="F125" i="4"/>
  <c r="G125" i="4" s="1"/>
  <c r="F35" i="4"/>
  <c r="G35" i="4" s="1"/>
  <c r="F140" i="4"/>
  <c r="G140" i="4" s="1"/>
  <c r="F95" i="4"/>
  <c r="G95" i="4" s="1"/>
  <c r="F50" i="4"/>
  <c r="G50" i="4" s="1"/>
  <c r="F155" i="4"/>
  <c r="G155" i="4" s="1"/>
  <c r="F65" i="4"/>
  <c r="G65" i="4" s="1"/>
  <c r="F20" i="4"/>
  <c r="G20" i="4" s="1"/>
  <c r="F80" i="4"/>
  <c r="G80" i="4" s="1"/>
  <c r="F110" i="4"/>
  <c r="G110" i="4" s="1"/>
  <c r="F5" i="4"/>
  <c r="G5" i="4" s="1"/>
  <c r="F138" i="4"/>
  <c r="F93" i="4"/>
  <c r="F3" i="4"/>
  <c r="F153" i="4"/>
  <c r="F108" i="4"/>
  <c r="F63" i="4"/>
  <c r="F168" i="4"/>
  <c r="F123" i="4"/>
  <c r="F33" i="4"/>
  <c r="F78" i="4"/>
  <c r="F18" i="4"/>
  <c r="F48" i="4"/>
  <c r="F74" i="4"/>
  <c r="F29" i="4"/>
  <c r="F179" i="4"/>
  <c r="F89" i="4"/>
  <c r="F44" i="4"/>
  <c r="F104" i="4"/>
  <c r="F59" i="4"/>
  <c r="F164" i="4"/>
  <c r="F149" i="4"/>
  <c r="F134" i="4"/>
  <c r="F119" i="4"/>
  <c r="F14" i="4"/>
  <c r="E128" i="4"/>
  <c r="E38" i="4"/>
  <c r="E143" i="4"/>
  <c r="E8" i="4"/>
  <c r="E158" i="4"/>
  <c r="E113" i="4"/>
  <c r="E53" i="4"/>
  <c r="E83" i="4"/>
  <c r="E173" i="4"/>
  <c r="E98" i="4"/>
  <c r="E23" i="4"/>
  <c r="E68" i="4"/>
  <c r="F58" i="4"/>
  <c r="F13" i="4"/>
  <c r="F163" i="4"/>
  <c r="F73" i="4"/>
  <c r="F28" i="4"/>
  <c r="F178" i="4"/>
  <c r="F88" i="4"/>
  <c r="F43" i="4"/>
  <c r="F148" i="4"/>
  <c r="F133" i="4"/>
  <c r="F103" i="4"/>
  <c r="F118" i="4"/>
  <c r="E112" i="4"/>
  <c r="E22" i="4"/>
  <c r="E127" i="4"/>
  <c r="E172" i="4"/>
  <c r="E142" i="4"/>
  <c r="E97" i="4"/>
  <c r="E52" i="4"/>
  <c r="E7" i="4"/>
  <c r="E157" i="4"/>
  <c r="E82" i="4"/>
  <c r="E37" i="4"/>
  <c r="E67" i="4"/>
  <c r="C4" i="1"/>
  <c r="D4" i="1"/>
  <c r="E119" i="4"/>
  <c r="E74" i="4"/>
  <c r="E134" i="4"/>
  <c r="E89" i="4"/>
  <c r="E44" i="4"/>
  <c r="E149" i="4"/>
  <c r="E104" i="4"/>
  <c r="E14" i="4"/>
  <c r="E164" i="4"/>
  <c r="E59" i="4"/>
  <c r="E29" i="4"/>
  <c r="E179" i="4"/>
  <c r="E87" i="4"/>
  <c r="E42" i="4"/>
  <c r="E102" i="4"/>
  <c r="E12" i="4"/>
  <c r="E57" i="4"/>
  <c r="E117" i="4"/>
  <c r="E72" i="4"/>
  <c r="G72" i="4" s="1"/>
  <c r="E177" i="4"/>
  <c r="E147" i="4"/>
  <c r="E132" i="4"/>
  <c r="E162" i="4"/>
  <c r="E27" i="4"/>
  <c r="E138" i="4"/>
  <c r="E48" i="4"/>
  <c r="E153" i="4"/>
  <c r="E108" i="4"/>
  <c r="G108" i="4" s="1"/>
  <c r="E63" i="4"/>
  <c r="G63" i="4" s="1"/>
  <c r="E168" i="4"/>
  <c r="G168" i="4" s="1"/>
  <c r="E78" i="4"/>
  <c r="E33" i="4"/>
  <c r="E93" i="4"/>
  <c r="E3" i="4"/>
  <c r="E18" i="4"/>
  <c r="E123" i="4"/>
  <c r="B5" i="1"/>
  <c r="E4" i="1"/>
  <c r="F141" i="4"/>
  <c r="F51" i="4"/>
  <c r="F156" i="4"/>
  <c r="F66" i="4"/>
  <c r="F111" i="4"/>
  <c r="F171" i="4"/>
  <c r="F81" i="4"/>
  <c r="F36" i="4"/>
  <c r="F126" i="4"/>
  <c r="F6" i="4"/>
  <c r="F96" i="4"/>
  <c r="F21" i="4"/>
  <c r="E103" i="4"/>
  <c r="G103" i="4" s="1"/>
  <c r="E58" i="4"/>
  <c r="E118" i="4"/>
  <c r="E73" i="4"/>
  <c r="E28" i="4"/>
  <c r="E133" i="4"/>
  <c r="E88" i="4"/>
  <c r="E148" i="4"/>
  <c r="E163" i="4"/>
  <c r="G163" i="4" s="1"/>
  <c r="E13" i="4"/>
  <c r="G13" i="4" s="1"/>
  <c r="E178" i="4"/>
  <c r="E43" i="4"/>
  <c r="E167" i="4"/>
  <c r="E122" i="4"/>
  <c r="E32" i="4"/>
  <c r="E137" i="4"/>
  <c r="E92" i="4"/>
  <c r="E47" i="4"/>
  <c r="E152" i="4"/>
  <c r="E62" i="4"/>
  <c r="E17" i="4"/>
  <c r="E107" i="4"/>
  <c r="E77" i="4"/>
  <c r="E2" i="4"/>
  <c r="E96" i="4"/>
  <c r="E6" i="4"/>
  <c r="E111" i="4"/>
  <c r="E156" i="4"/>
  <c r="E126" i="4"/>
  <c r="E81" i="4"/>
  <c r="E66" i="4"/>
  <c r="E141" i="4"/>
  <c r="E171" i="4"/>
  <c r="E51" i="4"/>
  <c r="E36" i="4"/>
  <c r="E21" i="4"/>
  <c r="E135" i="4"/>
  <c r="E90" i="4"/>
  <c r="E150" i="4"/>
  <c r="E105" i="4"/>
  <c r="E60" i="4"/>
  <c r="E165" i="4"/>
  <c r="E120" i="4"/>
  <c r="E30" i="4"/>
  <c r="E180" i="4"/>
  <c r="E45" i="4"/>
  <c r="E75" i="4"/>
  <c r="E15" i="4"/>
  <c r="F99" i="4"/>
  <c r="F9" i="4"/>
  <c r="F159" i="4"/>
  <c r="F114" i="4"/>
  <c r="F129" i="4"/>
  <c r="F84" i="4"/>
  <c r="F144" i="4"/>
  <c r="F54" i="4"/>
  <c r="F174" i="4"/>
  <c r="F24" i="4"/>
  <c r="F39" i="4"/>
  <c r="F69" i="4"/>
  <c r="F157" i="4"/>
  <c r="F67" i="4"/>
  <c r="F172" i="4"/>
  <c r="F127" i="4"/>
  <c r="F82" i="4"/>
  <c r="F97" i="4"/>
  <c r="F52" i="4"/>
  <c r="F142" i="4"/>
  <c r="F7" i="4"/>
  <c r="F112" i="4"/>
  <c r="F22" i="4"/>
  <c r="F37" i="4"/>
  <c r="F90" i="4"/>
  <c r="F45" i="4"/>
  <c r="F105" i="4"/>
  <c r="F15" i="4"/>
  <c r="F60" i="4"/>
  <c r="F120" i="4"/>
  <c r="F75" i="4"/>
  <c r="F180" i="4"/>
  <c r="F150" i="4"/>
  <c r="F135" i="4"/>
  <c r="F165" i="4"/>
  <c r="F30" i="4"/>
  <c r="E154" i="4"/>
  <c r="E64" i="4"/>
  <c r="E169" i="4"/>
  <c r="E124" i="4"/>
  <c r="E79" i="4"/>
  <c r="G79" i="4" s="1"/>
  <c r="E94" i="4"/>
  <c r="E49" i="4"/>
  <c r="E34" i="4"/>
  <c r="E19" i="4"/>
  <c r="E139" i="4"/>
  <c r="E109" i="4"/>
  <c r="E4" i="4"/>
  <c r="F154" i="4"/>
  <c r="F109" i="4"/>
  <c r="F19" i="4"/>
  <c r="F169" i="4"/>
  <c r="F124" i="4"/>
  <c r="F79" i="4"/>
  <c r="F139" i="4"/>
  <c r="F49" i="4"/>
  <c r="F4" i="4"/>
  <c r="F34" i="4"/>
  <c r="F64" i="4"/>
  <c r="F94" i="4"/>
  <c r="F173" i="4"/>
  <c r="F83" i="4"/>
  <c r="F143" i="4"/>
  <c r="F98" i="4"/>
  <c r="F113" i="4"/>
  <c r="F68" i="4"/>
  <c r="F158" i="4"/>
  <c r="F128" i="4"/>
  <c r="F8" i="4"/>
  <c r="F23" i="4"/>
  <c r="F38" i="4"/>
  <c r="F53" i="4"/>
  <c r="F106" i="4"/>
  <c r="G106" i="4" s="1"/>
  <c r="F61" i="4"/>
  <c r="G61" i="4" s="1"/>
  <c r="F121" i="4"/>
  <c r="F76" i="4"/>
  <c r="G76" i="4" s="1"/>
  <c r="F31" i="4"/>
  <c r="G31" i="4" s="1"/>
  <c r="F136" i="4"/>
  <c r="F91" i="4"/>
  <c r="F151" i="4"/>
  <c r="F166" i="4"/>
  <c r="G166" i="4" s="1"/>
  <c r="F46" i="4"/>
  <c r="F181" i="4"/>
  <c r="G181" i="4" s="1"/>
  <c r="F16" i="4"/>
  <c r="E71" i="4"/>
  <c r="E26" i="4"/>
  <c r="E176" i="4"/>
  <c r="G176" i="4" s="1"/>
  <c r="E86" i="4"/>
  <c r="E41" i="4"/>
  <c r="E101" i="4"/>
  <c r="E56" i="4"/>
  <c r="E161" i="4"/>
  <c r="E11" i="4"/>
  <c r="G11" i="4" s="1"/>
  <c r="E146" i="4"/>
  <c r="E131" i="4"/>
  <c r="E116" i="4"/>
  <c r="F122" i="4"/>
  <c r="F77" i="4"/>
  <c r="F137" i="4"/>
  <c r="F92" i="4"/>
  <c r="F47" i="4"/>
  <c r="F152" i="4"/>
  <c r="F107" i="4"/>
  <c r="F17" i="4"/>
  <c r="F167" i="4"/>
  <c r="F2" i="4"/>
  <c r="F62" i="4"/>
  <c r="F32" i="4"/>
  <c r="G149" i="4" l="1"/>
  <c r="G46" i="4"/>
  <c r="G151" i="4"/>
  <c r="G41" i="4"/>
  <c r="G58" i="4"/>
  <c r="G89" i="4"/>
  <c r="G131" i="4"/>
  <c r="G91" i="4"/>
  <c r="G136" i="4"/>
  <c r="G178" i="4"/>
  <c r="G115" i="4"/>
  <c r="G121" i="4"/>
  <c r="G130" i="4"/>
  <c r="H130" i="4" s="1"/>
  <c r="G48" i="4"/>
  <c r="G16" i="4"/>
  <c r="G160" i="4"/>
  <c r="G15" i="4"/>
  <c r="G117" i="4"/>
  <c r="F4" i="1"/>
  <c r="G37" i="4"/>
  <c r="G165" i="4"/>
  <c r="G179" i="4"/>
  <c r="G153" i="4"/>
  <c r="G164" i="4"/>
  <c r="G169" i="4"/>
  <c r="G126" i="4"/>
  <c r="G102" i="4"/>
  <c r="G158" i="4"/>
  <c r="G42" i="4"/>
  <c r="G67" i="4"/>
  <c r="G8" i="4"/>
  <c r="G6" i="4"/>
  <c r="H7" i="4" s="1"/>
  <c r="G87" i="4"/>
  <c r="G143" i="4"/>
  <c r="G82" i="4"/>
  <c r="G69" i="4"/>
  <c r="H69" i="4" s="1"/>
  <c r="G93" i="4"/>
  <c r="G56" i="4"/>
  <c r="G60" i="4"/>
  <c r="G124" i="4"/>
  <c r="G105" i="4"/>
  <c r="G157" i="4"/>
  <c r="G128" i="4"/>
  <c r="G2" i="4"/>
  <c r="G59" i="4"/>
  <c r="H58" i="4" s="1"/>
  <c r="G7" i="4"/>
  <c r="G39" i="4"/>
  <c r="D14" i="5" s="1"/>
  <c r="G3" i="4"/>
  <c r="G86" i="4"/>
  <c r="G96" i="4"/>
  <c r="G26" i="4"/>
  <c r="G150" i="4"/>
  <c r="G64" i="4"/>
  <c r="G77" i="4"/>
  <c r="G88" i="4"/>
  <c r="G138" i="4"/>
  <c r="G52" i="4"/>
  <c r="G94" i="4"/>
  <c r="G135" i="4"/>
  <c r="G97" i="4"/>
  <c r="G154" i="4"/>
  <c r="G133" i="4"/>
  <c r="G21" i="4"/>
  <c r="G104" i="4"/>
  <c r="H104" i="4" s="1"/>
  <c r="G36" i="4"/>
  <c r="G62" i="4"/>
  <c r="H62" i="4" s="1"/>
  <c r="G172" i="4"/>
  <c r="G118" i="4"/>
  <c r="G44" i="4"/>
  <c r="G55" i="4"/>
  <c r="G148" i="4"/>
  <c r="G38" i="4"/>
  <c r="G71" i="4"/>
  <c r="G84" i="4"/>
  <c r="G28" i="4"/>
  <c r="H65" i="4"/>
  <c r="G142" i="4"/>
  <c r="G100" i="4"/>
  <c r="G99" i="4"/>
  <c r="G152" i="4"/>
  <c r="G132" i="4"/>
  <c r="G114" i="4"/>
  <c r="G10" i="4"/>
  <c r="G17" i="4"/>
  <c r="G162" i="4"/>
  <c r="G116" i="4"/>
  <c r="G171" i="4"/>
  <c r="G47" i="4"/>
  <c r="B6" i="1"/>
  <c r="E5" i="1"/>
  <c r="G147" i="4"/>
  <c r="G127" i="4"/>
  <c r="H126" i="4" s="1"/>
  <c r="G68" i="4"/>
  <c r="D45" i="5"/>
  <c r="G129" i="4"/>
  <c r="G27" i="4"/>
  <c r="G4" i="4"/>
  <c r="G141" i="4"/>
  <c r="G92" i="4"/>
  <c r="G123" i="4"/>
  <c r="G177" i="4"/>
  <c r="G22" i="4"/>
  <c r="G23" i="4"/>
  <c r="G145" i="4"/>
  <c r="G174" i="4"/>
  <c r="H163" i="4"/>
  <c r="H165" i="4"/>
  <c r="D56" i="5"/>
  <c r="H166" i="4"/>
  <c r="H164" i="4"/>
  <c r="G51" i="4"/>
  <c r="G146" i="4"/>
  <c r="G109" i="4"/>
  <c r="G75" i="4"/>
  <c r="G66" i="4"/>
  <c r="G137" i="4"/>
  <c r="G18" i="4"/>
  <c r="G134" i="4"/>
  <c r="G112" i="4"/>
  <c r="G98" i="4"/>
  <c r="G40" i="4"/>
  <c r="G24" i="4"/>
  <c r="G139" i="4"/>
  <c r="G45" i="4"/>
  <c r="G81" i="4"/>
  <c r="G32" i="4"/>
  <c r="G74" i="4"/>
  <c r="G173" i="4"/>
  <c r="G85" i="4"/>
  <c r="G159" i="4"/>
  <c r="G90" i="4"/>
  <c r="G19" i="4"/>
  <c r="G180" i="4"/>
  <c r="D61" i="5" s="1"/>
  <c r="G122" i="4"/>
  <c r="G57" i="4"/>
  <c r="G119" i="4"/>
  <c r="G83" i="4"/>
  <c r="G25" i="4"/>
  <c r="G9" i="4"/>
  <c r="G29" i="4"/>
  <c r="G107" i="4"/>
  <c r="G14" i="4"/>
  <c r="H15" i="4" s="1"/>
  <c r="G73" i="4"/>
  <c r="G161" i="4"/>
  <c r="G34" i="4"/>
  <c r="G30" i="4"/>
  <c r="G156" i="4"/>
  <c r="G167" i="4"/>
  <c r="G33" i="4"/>
  <c r="G12" i="4"/>
  <c r="G53" i="4"/>
  <c r="G175" i="4"/>
  <c r="G54" i="4"/>
  <c r="G101" i="4"/>
  <c r="G49" i="4"/>
  <c r="G120" i="4"/>
  <c r="G111" i="4"/>
  <c r="G43" i="4"/>
  <c r="G78" i="4"/>
  <c r="D5" i="1"/>
  <c r="C5" i="1"/>
  <c r="G113" i="4"/>
  <c r="G70" i="4"/>
  <c r="G144" i="4"/>
  <c r="H134" i="4" l="1"/>
  <c r="H89" i="4"/>
  <c r="H59" i="4"/>
  <c r="H61" i="4"/>
  <c r="D8" i="5"/>
  <c r="D3" i="5"/>
  <c r="H60" i="4"/>
  <c r="D21" i="5"/>
  <c r="H132" i="4"/>
  <c r="H131" i="4"/>
  <c r="D22" i="5"/>
  <c r="H64" i="4"/>
  <c r="H63" i="4"/>
  <c r="H39" i="4"/>
  <c r="H115" i="4"/>
  <c r="D46" i="5"/>
  <c r="H22" i="4"/>
  <c r="H96" i="4"/>
  <c r="D24" i="5"/>
  <c r="H121" i="4"/>
  <c r="D36" i="5"/>
  <c r="H105" i="4"/>
  <c r="F5" i="1"/>
  <c r="H21" i="4"/>
  <c r="H116" i="4"/>
  <c r="H117" i="4"/>
  <c r="H160" i="4"/>
  <c r="H3" i="4"/>
  <c r="H90" i="4"/>
  <c r="H103" i="4"/>
  <c r="H37" i="4"/>
  <c r="H135" i="4"/>
  <c r="H133" i="4"/>
  <c r="H8" i="4"/>
  <c r="H136" i="4"/>
  <c r="H6" i="4"/>
  <c r="H38" i="4"/>
  <c r="H36" i="4"/>
  <c r="D13" i="5"/>
  <c r="H127" i="4"/>
  <c r="H118" i="4"/>
  <c r="H119" i="4"/>
  <c r="D43" i="5"/>
  <c r="D55" i="5"/>
  <c r="D41" i="5"/>
  <c r="H120" i="4"/>
  <c r="H128" i="4"/>
  <c r="H23" i="4"/>
  <c r="H80" i="4"/>
  <c r="H106" i="4"/>
  <c r="H91" i="4"/>
  <c r="B7" i="1"/>
  <c r="E6" i="1"/>
  <c r="H77" i="4"/>
  <c r="D11" i="5"/>
  <c r="H31" i="4"/>
  <c r="H29" i="4"/>
  <c r="H28" i="4"/>
  <c r="H30" i="4"/>
  <c r="D31" i="5"/>
  <c r="H78" i="4"/>
  <c r="D52" i="5"/>
  <c r="H153" i="4"/>
  <c r="H152" i="4"/>
  <c r="H154" i="4"/>
  <c r="H155" i="4"/>
  <c r="H97" i="4"/>
  <c r="H88" i="4"/>
  <c r="D59" i="5"/>
  <c r="H174" i="4"/>
  <c r="H73" i="4"/>
  <c r="D26" i="5"/>
  <c r="H74" i="4"/>
  <c r="H75" i="4"/>
  <c r="H76" i="4"/>
  <c r="H147" i="4"/>
  <c r="D50" i="5"/>
  <c r="H146" i="4"/>
  <c r="H145" i="4"/>
  <c r="H4" i="4"/>
  <c r="H79" i="4"/>
  <c r="H99" i="4"/>
  <c r="D34" i="5"/>
  <c r="D33" i="5"/>
  <c r="H110" i="4"/>
  <c r="D37" i="5"/>
  <c r="H108" i="4"/>
  <c r="H107" i="4"/>
  <c r="H109" i="4"/>
  <c r="H5" i="4"/>
  <c r="H161" i="4"/>
  <c r="D27" i="5"/>
  <c r="D35" i="5"/>
  <c r="H101" i="4"/>
  <c r="H100" i="4"/>
  <c r="H102" i="4"/>
  <c r="H98" i="4"/>
  <c r="H180" i="4"/>
  <c r="H181" i="4"/>
  <c r="H143" i="4"/>
  <c r="H142" i="4"/>
  <c r="D48" i="5"/>
  <c r="H141" i="4"/>
  <c r="H112" i="4"/>
  <c r="H111" i="4"/>
  <c r="H113" i="4"/>
  <c r="D38" i="5"/>
  <c r="D9" i="5"/>
  <c r="H24" i="4"/>
  <c r="H41" i="4"/>
  <c r="H40" i="4"/>
  <c r="D15" i="5"/>
  <c r="H42" i="4"/>
  <c r="H2" i="4"/>
  <c r="D4" i="5"/>
  <c r="H9" i="4"/>
  <c r="D2" i="5"/>
  <c r="H137" i="4"/>
  <c r="D47" i="5"/>
  <c r="H138" i="4"/>
  <c r="H140" i="4"/>
  <c r="H139" i="4"/>
  <c r="H162" i="4"/>
  <c r="H10" i="4"/>
  <c r="D5" i="5"/>
  <c r="H12" i="4"/>
  <c r="H11" i="4"/>
  <c r="D29" i="5"/>
  <c r="H84" i="4"/>
  <c r="H178" i="4"/>
  <c r="H45" i="4"/>
  <c r="H44" i="4"/>
  <c r="H43" i="4"/>
  <c r="D16" i="5"/>
  <c r="H46" i="4"/>
  <c r="H67" i="4"/>
  <c r="H66" i="4"/>
  <c r="D23" i="5"/>
  <c r="H68" i="4"/>
  <c r="H48" i="4"/>
  <c r="H47" i="4"/>
  <c r="H50" i="4"/>
  <c r="D17" i="5"/>
  <c r="H49" i="4"/>
  <c r="H114" i="4"/>
  <c r="D39" i="5"/>
  <c r="H179" i="4"/>
  <c r="H25" i="4"/>
  <c r="D10" i="5"/>
  <c r="H26" i="4"/>
  <c r="H27" i="4"/>
  <c r="H16" i="4"/>
  <c r="D44" i="5"/>
  <c r="H129" i="4"/>
  <c r="D58" i="5"/>
  <c r="H173" i="4"/>
  <c r="H172" i="4"/>
  <c r="H171" i="4"/>
  <c r="H144" i="4"/>
  <c r="D49" i="5"/>
  <c r="H176" i="4"/>
  <c r="D60" i="5"/>
  <c r="H175" i="4"/>
  <c r="H177" i="4"/>
  <c r="H85" i="4"/>
  <c r="D30" i="5"/>
  <c r="H87" i="4"/>
  <c r="H86" i="4"/>
  <c r="D40" i="5"/>
  <c r="H13" i="4"/>
  <c r="H158" i="4"/>
  <c r="D53" i="5"/>
  <c r="H157" i="4"/>
  <c r="H156" i="4"/>
  <c r="H14" i="4"/>
  <c r="D51" i="5"/>
  <c r="H149" i="4"/>
  <c r="H151" i="4"/>
  <c r="H150" i="4"/>
  <c r="H148" i="4"/>
  <c r="H169" i="4"/>
  <c r="H168" i="4"/>
  <c r="D57" i="5"/>
  <c r="H167" i="4"/>
  <c r="H170" i="4"/>
  <c r="D42" i="5"/>
  <c r="H122" i="4"/>
  <c r="H125" i="4"/>
  <c r="H124" i="4"/>
  <c r="H123" i="4"/>
  <c r="H51" i="4"/>
  <c r="D18" i="5"/>
  <c r="H53" i="4"/>
  <c r="H52" i="4"/>
  <c r="H19" i="4"/>
  <c r="H18" i="4"/>
  <c r="D7" i="5"/>
  <c r="H17" i="4"/>
  <c r="H20" i="4"/>
  <c r="D6" i="5"/>
  <c r="D20" i="5"/>
  <c r="H57" i="4"/>
  <c r="H56" i="4"/>
  <c r="H55" i="4"/>
  <c r="D28" i="5"/>
  <c r="H83" i="4"/>
  <c r="H82" i="4"/>
  <c r="H81" i="4"/>
  <c r="D19" i="5"/>
  <c r="H54" i="4"/>
  <c r="H159" i="4"/>
  <c r="D54" i="5"/>
  <c r="H72" i="4"/>
  <c r="D25" i="5"/>
  <c r="H71" i="4"/>
  <c r="H70" i="4"/>
  <c r="D6" i="1"/>
  <c r="C6" i="1"/>
  <c r="D12" i="5"/>
  <c r="H35" i="4"/>
  <c r="H34" i="4"/>
  <c r="H33" i="4"/>
  <c r="H32" i="4"/>
  <c r="H95" i="4"/>
  <c r="H94" i="4"/>
  <c r="H93" i="4"/>
  <c r="H92" i="4"/>
  <c r="D32" i="5"/>
  <c r="F6" i="1" l="1"/>
  <c r="D7" i="1"/>
  <c r="C7" i="1"/>
  <c r="B8" i="1"/>
  <c r="E7" i="1"/>
  <c r="F7" i="1" l="1"/>
  <c r="C8" i="1"/>
  <c r="D8" i="1"/>
  <c r="E8" i="1"/>
  <c r="B9" i="1"/>
  <c r="F8" i="1" l="1"/>
  <c r="E9" i="1"/>
  <c r="B10" i="1"/>
  <c r="D9" i="1"/>
  <c r="C9" i="1"/>
  <c r="F9" i="1" l="1"/>
  <c r="C10" i="1"/>
  <c r="D10" i="1"/>
  <c r="E10" i="1"/>
  <c r="B11" i="1"/>
  <c r="F10" i="1" l="1"/>
  <c r="E11" i="1"/>
  <c r="B12" i="1"/>
  <c r="D11" i="1"/>
  <c r="C11" i="1"/>
  <c r="F11" i="1" l="1"/>
  <c r="B13" i="1"/>
  <c r="E12" i="1"/>
  <c r="D12" i="1"/>
  <c r="C12" i="1"/>
  <c r="F12" i="1" l="1"/>
  <c r="D13" i="1"/>
  <c r="C13" i="1"/>
  <c r="B14" i="1"/>
  <c r="E14" i="1" s="1"/>
  <c r="E13" i="1"/>
  <c r="F13" i="1" l="1"/>
  <c r="D14" i="1"/>
  <c r="C14" i="1"/>
  <c r="F14" i="1" l="1"/>
</calcChain>
</file>

<file path=xl/sharedStrings.xml><?xml version="1.0" encoding="utf-8"?>
<sst xmlns="http://schemas.openxmlformats.org/spreadsheetml/2006/main" count="491" uniqueCount="53">
  <si>
    <t>Tháng</t>
  </si>
  <si>
    <t>Số nhân sự</t>
  </si>
  <si>
    <t>GTDN (Doanh thu)</t>
  </si>
  <si>
    <t>Lãi tháng</t>
  </si>
  <si>
    <t>Tổng lương chi</t>
  </si>
  <si>
    <t>Số dư vốn</t>
  </si>
  <si>
    <t>Tham số</t>
  </si>
  <si>
    <t>Giá trị</t>
  </si>
  <si>
    <t>Vốn đầu tư ban đầu (VND)</t>
  </si>
  <si>
    <t>Tỷ lệ tăng trưởng hàng tháng</t>
  </si>
  <si>
    <t>Lương bình quân (VND/người)</t>
  </si>
  <si>
    <t>Số nhân sự ban đầu</t>
  </si>
  <si>
    <t>Tuyển mới hàng tháng</t>
  </si>
  <si>
    <t>SECTION 1: THÔNG SỐ CỐ ĐỊNH</t>
  </si>
  <si>
    <t>Vốn đầu tư ban đầu</t>
  </si>
  <si>
    <t>Tỷ lệ tăng trưởng</t>
  </si>
  <si>
    <t>Lương bình quân (Avg Salary)</t>
  </si>
  <si>
    <t>Tỷ lệ Lương cứng (Base %)</t>
  </si>
  <si>
    <t>Tỷ lệ Thưởng KPI (KPI %)</t>
  </si>
  <si>
    <t>SECTION 2-4: CƠ CẤU NHÂN SỰ</t>
  </si>
  <si>
    <t>Ban</t>
  </si>
  <si>
    <t>Role</t>
  </si>
  <si>
    <t>Số người</t>
  </si>
  <si>
    <t>Lương cơ bản</t>
  </si>
  <si>
    <t>Thưởng KPI</t>
  </si>
  <si>
    <t>Hệ số (Coef)</t>
  </si>
  <si>
    <t>Marketing</t>
  </si>
  <si>
    <t>Manager</t>
  </si>
  <si>
    <t>Performance</t>
  </si>
  <si>
    <t>Content</t>
  </si>
  <si>
    <t>Creative</t>
  </si>
  <si>
    <t>Sales</t>
  </si>
  <si>
    <t>Teamlead</t>
  </si>
  <si>
    <t>Defence</t>
  </si>
  <si>
    <t>Member</t>
  </si>
  <si>
    <t>Accountant</t>
  </si>
  <si>
    <t>Tech</t>
  </si>
  <si>
    <t>Automation</t>
  </si>
  <si>
    <t>Fullstack</t>
  </si>
  <si>
    <t>DevOps</t>
  </si>
  <si>
    <t>OPS</t>
  </si>
  <si>
    <t>Quản lý vận hành</t>
  </si>
  <si>
    <t>Triển khai / Delivery</t>
  </si>
  <si>
    <t>Kiểm soát &amp; tối ưu</t>
  </si>
  <si>
    <t>Hỗ trợ vận hành</t>
  </si>
  <si>
    <t>Lương cứng</t>
  </si>
  <si>
    <t>Tổng role</t>
  </si>
  <si>
    <t>Tổng ban</t>
  </si>
  <si>
    <t>Tổng người</t>
  </si>
  <si>
    <t>Quỹ lương</t>
  </si>
  <si>
    <t>Công việc</t>
  </si>
  <si>
    <t>KPI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</si>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</sst>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0" fontId="1" fillId="2" borderId="1" xfId="0" applyFont="1" applyFill="1" applyBorder="1"/>
    <xf numFmtId="9" fontId="0" fillId="0" borderId="1" xfId="0" applyNumberFormat="1" applyBorder="1"/>
    <xf numFmtId="0" fontId="2" fillId="0" borderId="0" xfId="0" applyFont="1"/>
    <xf numFmtId="9" fontId="0" fillId="3" borderId="1" xfId="0" applyNumberFormat="1" applyFill="1" applyBorder="1"/>
    <xf numFmtId="0" fontId="2" fillId="4" borderId="1" xfId="0" applyFont="1" applyFill="1" applyBorder="1"/>
    <xf numFmtId="0" fontId="0" fillId="3" borderId="1" xfId="0" applyFill="1" applyBorder="1"/>
    <xf numFmtId="3" fontId="0" fillId="0" borderId="0" xfId="0" applyNumberFormat="1"/>
    <xf numFmtId="0" fontId="0" fillId="5" borderId="1" xfId="0" applyFill="1" applyBorder="1"/>
    <xf numFmtId="3" fontId="0" fillId="5" borderId="1" xfId="0" applyNumberFormat="1" applyFill="1" applyBorder="1"/>
    <xf numFmtId="0" fontId="0" fillId="6" borderId="0" xfId="0" applyFill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zoomScale="112" workbookViewId="0">
      <selection activeCell="G19" sqref="G19"/>
    </sheetView>
  </sheetViews>
  <sheetFormatPr defaultRowHeight="14.5" x14ac:dyDescent="0.35"/>
  <cols>
    <col min="3" max="3" width="25" customWidth="1"/>
    <col min="4" max="5" width="20" customWidth="1"/>
    <col min="6" max="6" width="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0</v>
      </c>
      <c r="B2" s="2">
        <f>Assumptions!$B$5</f>
        <v>30</v>
      </c>
      <c r="C2" s="3">
        <f>Assumptions!$B$2</f>
        <v>2000000000</v>
      </c>
      <c r="D2" s="3">
        <v>0</v>
      </c>
      <c r="E2" s="3">
        <v>0</v>
      </c>
      <c r="F2" s="3">
        <f>C2</f>
        <v>2000000000</v>
      </c>
    </row>
    <row r="3" spans="1:6" x14ac:dyDescent="0.35">
      <c r="A3" s="2">
        <v>1</v>
      </c>
      <c r="B3" s="2">
        <f>B2+Assumptions!$B$6</f>
        <v>31</v>
      </c>
      <c r="C3" s="3">
        <f>C2*(1+Assumptions!$B$3)</f>
        <v>2100000000</v>
      </c>
      <c r="D3" s="3">
        <f>Assumptions!$B$3*C2</f>
        <v>100000000</v>
      </c>
      <c r="E3" s="3">
        <f>B3*Assumptions!$B$4</f>
        <v>217000000</v>
      </c>
      <c r="F3" s="3">
        <f>F2+D3-E3</f>
        <v>1883000000</v>
      </c>
    </row>
    <row r="4" spans="1:6" x14ac:dyDescent="0.35">
      <c r="A4" s="2">
        <v>2</v>
      </c>
      <c r="B4" s="2">
        <f>B3+Assumptions!$B$6</f>
        <v>32</v>
      </c>
      <c r="C4" s="3">
        <f>C3*(1+Assumptions!$B$3)</f>
        <v>2205000000</v>
      </c>
      <c r="D4" s="3">
        <f>Assumptions!$B$3*C3</f>
        <v>105000000</v>
      </c>
      <c r="E4" s="3">
        <f>B4*Assumptions!$B$4</f>
        <v>224000000</v>
      </c>
      <c r="F4" s="3">
        <f t="shared" ref="F4:F14" si="0">F3+D4-E4</f>
        <v>1764000000</v>
      </c>
    </row>
    <row r="5" spans="1:6" x14ac:dyDescent="0.35">
      <c r="A5" s="2">
        <v>3</v>
      </c>
      <c r="B5" s="2">
        <f>B4+Assumptions!$B$6</f>
        <v>33</v>
      </c>
      <c r="C5" s="3">
        <f>C4*(1+Assumptions!$B$3)</f>
        <v>2315250000</v>
      </c>
      <c r="D5" s="3">
        <f>Assumptions!$B$3*C4</f>
        <v>110250000</v>
      </c>
      <c r="E5" s="3">
        <f>B5*Assumptions!$B$4</f>
        <v>231000000</v>
      </c>
      <c r="F5" s="3">
        <f t="shared" si="0"/>
        <v>1643250000</v>
      </c>
    </row>
    <row r="6" spans="1:6" x14ac:dyDescent="0.35">
      <c r="A6" s="2">
        <v>4</v>
      </c>
      <c r="B6" s="2">
        <f>B5+Assumptions!$B$6</f>
        <v>34</v>
      </c>
      <c r="C6" s="3">
        <f>C5*(1+Assumptions!$B$3)</f>
        <v>2431012500</v>
      </c>
      <c r="D6" s="3">
        <f>Assumptions!$B$3*C5</f>
        <v>115762500</v>
      </c>
      <c r="E6" s="3">
        <f>B6*Assumptions!$B$4</f>
        <v>238000000</v>
      </c>
      <c r="F6" s="3">
        <f t="shared" si="0"/>
        <v>1521012500</v>
      </c>
    </row>
    <row r="7" spans="1:6" x14ac:dyDescent="0.35">
      <c r="A7" s="2">
        <v>5</v>
      </c>
      <c r="B7" s="2">
        <f>B6+Assumptions!$B$6</f>
        <v>35</v>
      </c>
      <c r="C7" s="3">
        <f>C6*(1+Assumptions!$B$3)</f>
        <v>2552563125</v>
      </c>
      <c r="D7" s="3">
        <f>Assumptions!$B$3*C6</f>
        <v>121550625</v>
      </c>
      <c r="E7" s="3">
        <f>B7*Assumptions!$B$4</f>
        <v>245000000</v>
      </c>
      <c r="F7" s="3">
        <f t="shared" si="0"/>
        <v>1397563125</v>
      </c>
    </row>
    <row r="8" spans="1:6" x14ac:dyDescent="0.35">
      <c r="A8" s="2">
        <v>6</v>
      </c>
      <c r="B8" s="2">
        <f>B7+Assumptions!$B$6</f>
        <v>36</v>
      </c>
      <c r="C8" s="3">
        <f>C7*(1+Assumptions!$B$3)</f>
        <v>2680191281.25</v>
      </c>
      <c r="D8" s="3">
        <f>Assumptions!$B$3*C7</f>
        <v>127628156.25</v>
      </c>
      <c r="E8" s="3">
        <f>B8*Assumptions!$B$4</f>
        <v>252000000</v>
      </c>
      <c r="F8" s="3">
        <f t="shared" si="0"/>
        <v>1273191281.25</v>
      </c>
    </row>
    <row r="9" spans="1:6" x14ac:dyDescent="0.35">
      <c r="A9" s="2">
        <v>7</v>
      </c>
      <c r="B9" s="2">
        <f>B8+Assumptions!$B$6</f>
        <v>37</v>
      </c>
      <c r="C9" s="3">
        <f>C8*(1+Assumptions!$B$3)</f>
        <v>2814200845.3125</v>
      </c>
      <c r="D9" s="3">
        <f>Assumptions!$B$3*C8</f>
        <v>134009564.0625</v>
      </c>
      <c r="E9" s="3">
        <f>B9*Assumptions!$B$4</f>
        <v>259000000</v>
      </c>
      <c r="F9" s="3">
        <f t="shared" si="0"/>
        <v>1148200845.3125</v>
      </c>
    </row>
    <row r="10" spans="1:6" x14ac:dyDescent="0.35">
      <c r="A10" s="2">
        <v>8</v>
      </c>
      <c r="B10" s="2">
        <f>B9+Assumptions!$B$6</f>
        <v>38</v>
      </c>
      <c r="C10" s="3">
        <f>C9*(1+Assumptions!$B$3)</f>
        <v>2954910887.578125</v>
      </c>
      <c r="D10" s="3">
        <f>Assumptions!$B$3*C9</f>
        <v>140710042.265625</v>
      </c>
      <c r="E10" s="3">
        <f>B10*Assumptions!$B$4</f>
        <v>266000000</v>
      </c>
      <c r="F10" s="3">
        <f t="shared" si="0"/>
        <v>1022910887.578125</v>
      </c>
    </row>
    <row r="11" spans="1:6" x14ac:dyDescent="0.35">
      <c r="A11" s="2">
        <v>9</v>
      </c>
      <c r="B11" s="2">
        <f>B10+Assumptions!$B$6</f>
        <v>39</v>
      </c>
      <c r="C11" s="3">
        <f>C10*(1+Assumptions!$B$3)</f>
        <v>3102656431.9570313</v>
      </c>
      <c r="D11" s="3">
        <f>Assumptions!$B$3*C10</f>
        <v>147745544.37890625</v>
      </c>
      <c r="E11" s="3">
        <f>B11*Assumptions!$B$4</f>
        <v>273000000</v>
      </c>
      <c r="F11" s="3">
        <f t="shared" si="0"/>
        <v>897656431.95703125</v>
      </c>
    </row>
    <row r="12" spans="1:6" x14ac:dyDescent="0.35">
      <c r="A12" s="2">
        <v>10</v>
      </c>
      <c r="B12" s="2">
        <f>B11+Assumptions!$B$6</f>
        <v>40</v>
      </c>
      <c r="C12" s="3">
        <f>C11*(1+Assumptions!$B$3)</f>
        <v>3257789253.554883</v>
      </c>
      <c r="D12" s="3">
        <f>Assumptions!$B$3*C11</f>
        <v>155132821.59785157</v>
      </c>
      <c r="E12" s="3">
        <f>B12*Assumptions!$B$4</f>
        <v>280000000</v>
      </c>
      <c r="F12" s="3">
        <f t="shared" si="0"/>
        <v>772789253.55488276</v>
      </c>
    </row>
    <row r="13" spans="1:6" x14ac:dyDescent="0.35">
      <c r="A13" s="2">
        <v>11</v>
      </c>
      <c r="B13" s="2">
        <f>B12+Assumptions!$B$6</f>
        <v>41</v>
      </c>
      <c r="C13" s="3">
        <f>C12*(1+Assumptions!$B$3)</f>
        <v>3420678716.2326274</v>
      </c>
      <c r="D13" s="3">
        <f>Assumptions!$B$3*C12</f>
        <v>162889462.67774415</v>
      </c>
      <c r="E13" s="3">
        <f>B13*Assumptions!$B$4</f>
        <v>287000000</v>
      </c>
      <c r="F13" s="3">
        <f t="shared" si="0"/>
        <v>648678716.23262691</v>
      </c>
    </row>
    <row r="14" spans="1:6" x14ac:dyDescent="0.35">
      <c r="A14" s="2">
        <v>12</v>
      </c>
      <c r="B14" s="2">
        <f>B13+Assumptions!$B$6</f>
        <v>42</v>
      </c>
      <c r="C14" s="3">
        <f>C13*(1+Assumptions!$B$3)</f>
        <v>3591712652.0442591</v>
      </c>
      <c r="D14" s="3">
        <f>Assumptions!$B$3*C13</f>
        <v>171033935.81163138</v>
      </c>
      <c r="E14" s="3">
        <f>B14*Assumptions!$B$4</f>
        <v>294000000</v>
      </c>
      <c r="F14" s="3">
        <f t="shared" si="0"/>
        <v>525712652.04425836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5" sqref="B5"/>
    </sheetView>
  </sheetViews>
  <sheetFormatPr defaultRowHeight="14.5" x14ac:dyDescent="0.35"/>
  <cols>
    <col min="1" max="1" width="35" customWidth="1"/>
    <col min="2" max="2" width="12.1796875" bestFit="1" customWidth="1"/>
  </cols>
  <sheetData>
    <row r="1" spans="1:2" x14ac:dyDescent="0.35">
      <c r="A1" s="4" t="s">
        <v>6</v>
      </c>
      <c r="B1" s="4" t="s">
        <v>7</v>
      </c>
    </row>
    <row r="2" spans="1:2" x14ac:dyDescent="0.35">
      <c r="A2" s="2" t="s">
        <v>8</v>
      </c>
      <c r="B2" s="3">
        <v>2000000000</v>
      </c>
    </row>
    <row r="3" spans="1:2" x14ac:dyDescent="0.35">
      <c r="A3" s="2" t="s">
        <v>9</v>
      </c>
      <c r="B3" s="5">
        <v>0.05</v>
      </c>
    </row>
    <row r="4" spans="1:2" x14ac:dyDescent="0.35">
      <c r="A4" s="2" t="s">
        <v>10</v>
      </c>
      <c r="B4" s="3">
        <v>7000000</v>
      </c>
    </row>
    <row r="5" spans="1:2" x14ac:dyDescent="0.35">
      <c r="A5" s="2" t="s">
        <v>11</v>
      </c>
      <c r="B5" s="2">
        <v>30</v>
      </c>
    </row>
    <row r="6" spans="1:2" x14ac:dyDescent="0.35">
      <c r="A6" s="2" t="s">
        <v>12</v>
      </c>
      <c r="B6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zoomScale="126" workbookViewId="0">
      <selection activeCell="E9" sqref="E9"/>
    </sheetView>
  </sheetViews>
  <sheetFormatPr defaultRowHeight="14.5" x14ac:dyDescent="0.35"/>
  <cols>
    <col min="1" max="2" width="25" customWidth="1"/>
    <col min="4" max="4" width="15.36328125" customWidth="1"/>
    <col min="5" max="5" width="10.6328125" bestFit="1" customWidth="1"/>
    <col min="6" max="6" width="11" bestFit="1" customWidth="1"/>
  </cols>
  <sheetData>
    <row r="1" spans="1:6" x14ac:dyDescent="0.35">
      <c r="A1" s="6" t="s">
        <v>13</v>
      </c>
    </row>
    <row r="2" spans="1:6" x14ac:dyDescent="0.35">
      <c r="A2" s="2" t="s">
        <v>14</v>
      </c>
      <c r="B2" s="3">
        <f>Assumptions!$B$2</f>
        <v>2000000000</v>
      </c>
    </row>
    <row r="3" spans="1:6" x14ac:dyDescent="0.35">
      <c r="A3" s="2" t="s">
        <v>15</v>
      </c>
      <c r="B3" s="5">
        <f>Assumptions!$B$3</f>
        <v>0.05</v>
      </c>
    </row>
    <row r="4" spans="1:6" x14ac:dyDescent="0.35">
      <c r="A4" s="2" t="s">
        <v>16</v>
      </c>
      <c r="B4" s="3">
        <f>Assumptions!$B$4</f>
        <v>7000000</v>
      </c>
    </row>
    <row r="5" spans="1:6" x14ac:dyDescent="0.35">
      <c r="A5" s="2" t="s">
        <v>17</v>
      </c>
      <c r="B5" s="7">
        <v>0.7</v>
      </c>
    </row>
    <row r="6" spans="1:6" x14ac:dyDescent="0.35">
      <c r="A6" s="2" t="s">
        <v>18</v>
      </c>
      <c r="B6" s="7">
        <v>0.3</v>
      </c>
    </row>
    <row r="8" spans="1:6" x14ac:dyDescent="0.35">
      <c r="A8" s="6" t="s">
        <v>19</v>
      </c>
    </row>
    <row r="9" spans="1:6" x14ac:dyDescent="0.35">
      <c r="A9" s="8" t="s">
        <v>20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</row>
    <row r="10" spans="1:6" x14ac:dyDescent="0.35">
      <c r="A10" s="2" t="s">
        <v>26</v>
      </c>
      <c r="B10" s="2" t="s">
        <v>27</v>
      </c>
      <c r="C10" s="9">
        <v>1</v>
      </c>
      <c r="D10" s="3">
        <f t="shared" ref="D10:D24" si="0">$B$4 * $F10 * $B$5</f>
        <v>12250000</v>
      </c>
      <c r="E10" s="3">
        <f t="shared" ref="E10:E24" si="1">$B$4 * $F10 * $B$6</f>
        <v>5250000</v>
      </c>
      <c r="F10" s="9">
        <v>2.5</v>
      </c>
    </row>
    <row r="11" spans="1:6" x14ac:dyDescent="0.35">
      <c r="A11" s="2" t="s">
        <v>26</v>
      </c>
      <c r="B11" s="2" t="s">
        <v>28</v>
      </c>
      <c r="C11" s="9">
        <v>2</v>
      </c>
      <c r="D11" s="3">
        <f t="shared" si="0"/>
        <v>7349999.9999999991</v>
      </c>
      <c r="E11" s="3">
        <f t="shared" si="1"/>
        <v>3150000</v>
      </c>
      <c r="F11" s="9">
        <v>1.5</v>
      </c>
    </row>
    <row r="12" spans="1:6" x14ac:dyDescent="0.35">
      <c r="A12" s="2" t="s">
        <v>26</v>
      </c>
      <c r="B12" s="2" t="s">
        <v>29</v>
      </c>
      <c r="C12" s="9">
        <v>2</v>
      </c>
      <c r="D12" s="3">
        <f t="shared" si="0"/>
        <v>5880000</v>
      </c>
      <c r="E12" s="3">
        <f t="shared" si="1"/>
        <v>2520000</v>
      </c>
      <c r="F12" s="9">
        <v>1.2</v>
      </c>
    </row>
    <row r="13" spans="1:6" x14ac:dyDescent="0.35">
      <c r="A13" s="2" t="s">
        <v>26</v>
      </c>
      <c r="B13" s="2" t="s">
        <v>30</v>
      </c>
      <c r="C13" s="9">
        <v>1</v>
      </c>
      <c r="D13" s="3">
        <f t="shared" si="0"/>
        <v>6370000</v>
      </c>
      <c r="E13" s="3">
        <f t="shared" si="1"/>
        <v>2730000</v>
      </c>
      <c r="F13" s="9">
        <v>1.3</v>
      </c>
    </row>
    <row r="14" spans="1:6" x14ac:dyDescent="0.35">
      <c r="A14" s="2" t="s">
        <v>31</v>
      </c>
      <c r="B14" s="2" t="s">
        <v>32</v>
      </c>
      <c r="C14" s="9">
        <v>1</v>
      </c>
      <c r="D14" s="3">
        <f t="shared" si="0"/>
        <v>9800000</v>
      </c>
      <c r="E14" s="3">
        <f t="shared" si="1"/>
        <v>4200000</v>
      </c>
      <c r="F14" s="9">
        <v>2</v>
      </c>
    </row>
    <row r="15" spans="1:6" x14ac:dyDescent="0.35">
      <c r="A15" s="2" t="s">
        <v>31</v>
      </c>
      <c r="B15" s="2" t="s">
        <v>33</v>
      </c>
      <c r="C15" s="9">
        <v>2</v>
      </c>
      <c r="D15" s="3">
        <f t="shared" si="0"/>
        <v>5880000</v>
      </c>
      <c r="E15" s="3">
        <f t="shared" si="1"/>
        <v>2520000</v>
      </c>
      <c r="F15" s="9">
        <v>1.2</v>
      </c>
    </row>
    <row r="16" spans="1:6" x14ac:dyDescent="0.35">
      <c r="A16" s="2" t="s">
        <v>31</v>
      </c>
      <c r="B16" s="2" t="s">
        <v>34</v>
      </c>
      <c r="C16" s="9">
        <v>5</v>
      </c>
      <c r="D16" s="3">
        <f t="shared" si="0"/>
        <v>4900000</v>
      </c>
      <c r="E16" s="3">
        <f t="shared" si="1"/>
        <v>2100000</v>
      </c>
      <c r="F16" s="9">
        <v>1</v>
      </c>
    </row>
    <row r="17" spans="1:6" x14ac:dyDescent="0.35">
      <c r="A17" s="2" t="s">
        <v>35</v>
      </c>
      <c r="B17" s="2" t="s">
        <v>35</v>
      </c>
      <c r="C17" s="9">
        <v>1</v>
      </c>
      <c r="D17" s="3">
        <f t="shared" si="0"/>
        <v>7349999.9999999991</v>
      </c>
      <c r="E17" s="3">
        <f t="shared" si="1"/>
        <v>3150000</v>
      </c>
      <c r="F17" s="9">
        <v>1.5</v>
      </c>
    </row>
    <row r="18" spans="1:6" x14ac:dyDescent="0.35">
      <c r="A18" s="2" t="s">
        <v>36</v>
      </c>
      <c r="B18" s="2" t="s">
        <v>37</v>
      </c>
      <c r="C18" s="9">
        <v>1</v>
      </c>
      <c r="D18" s="3">
        <f t="shared" si="0"/>
        <v>9800000</v>
      </c>
      <c r="E18" s="3">
        <f t="shared" si="1"/>
        <v>4200000</v>
      </c>
      <c r="F18" s="9">
        <v>2</v>
      </c>
    </row>
    <row r="19" spans="1:6" x14ac:dyDescent="0.35">
      <c r="A19" s="2" t="s">
        <v>36</v>
      </c>
      <c r="B19" s="2" t="s">
        <v>38</v>
      </c>
      <c r="C19" s="9">
        <v>2</v>
      </c>
      <c r="D19" s="3">
        <f t="shared" si="0"/>
        <v>10780000</v>
      </c>
      <c r="E19" s="3">
        <f t="shared" si="1"/>
        <v>4620000</v>
      </c>
      <c r="F19" s="9">
        <v>2.2000000000000002</v>
      </c>
    </row>
    <row r="20" spans="1:6" x14ac:dyDescent="0.35">
      <c r="A20" s="2" t="s">
        <v>36</v>
      </c>
      <c r="B20" s="2" t="s">
        <v>39</v>
      </c>
      <c r="C20" s="9">
        <v>1</v>
      </c>
      <c r="D20" s="3">
        <f t="shared" si="0"/>
        <v>12250000</v>
      </c>
      <c r="E20" s="3">
        <f t="shared" si="1"/>
        <v>5250000</v>
      </c>
      <c r="F20" s="9">
        <v>2.5</v>
      </c>
    </row>
    <row r="21" spans="1:6" x14ac:dyDescent="0.35">
      <c r="A21" s="2" t="s">
        <v>40</v>
      </c>
      <c r="B21" s="2" t="s">
        <v>41</v>
      </c>
      <c r="C21" s="9">
        <v>1</v>
      </c>
      <c r="D21" s="3">
        <f t="shared" si="0"/>
        <v>10780000</v>
      </c>
      <c r="E21" s="3">
        <f t="shared" si="1"/>
        <v>4620000</v>
      </c>
      <c r="F21" s="9">
        <v>2.2000000000000002</v>
      </c>
    </row>
    <row r="22" spans="1:6" x14ac:dyDescent="0.35">
      <c r="A22" s="2" t="s">
        <v>40</v>
      </c>
      <c r="B22" s="2" t="s">
        <v>42</v>
      </c>
      <c r="C22" s="9">
        <v>2</v>
      </c>
      <c r="D22" s="3">
        <f t="shared" si="0"/>
        <v>5880000</v>
      </c>
      <c r="E22" s="3">
        <f t="shared" si="1"/>
        <v>2520000</v>
      </c>
      <c r="F22" s="9">
        <v>1.2</v>
      </c>
    </row>
    <row r="23" spans="1:6" x14ac:dyDescent="0.35">
      <c r="A23" s="2" t="s">
        <v>40</v>
      </c>
      <c r="B23" s="2" t="s">
        <v>43</v>
      </c>
      <c r="C23" s="9">
        <v>1</v>
      </c>
      <c r="D23" s="3">
        <f t="shared" si="0"/>
        <v>7349999.9999999991</v>
      </c>
      <c r="E23" s="3">
        <f t="shared" si="1"/>
        <v>3150000</v>
      </c>
      <c r="F23" s="9">
        <v>1.5</v>
      </c>
    </row>
    <row r="24" spans="1:6" x14ac:dyDescent="0.35">
      <c r="A24" s="2" t="s">
        <v>40</v>
      </c>
      <c r="B24" s="2" t="s">
        <v>44</v>
      </c>
      <c r="C24" s="9">
        <v>2</v>
      </c>
      <c r="D24" s="3">
        <f t="shared" si="0"/>
        <v>4900000</v>
      </c>
      <c r="E24" s="3">
        <f t="shared" si="1"/>
        <v>2100000</v>
      </c>
      <c r="F24" s="9">
        <v>1</v>
      </c>
    </row>
    <row r="25" spans="1:6" x14ac:dyDescent="0.35">
      <c r="D25" s="10"/>
    </row>
    <row r="26" spans="1:6" x14ac:dyDescent="0.35">
      <c r="D26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81"/>
  <sheetViews>
    <sheetView topLeftCell="A24" zoomScale="80" workbookViewId="0">
      <selection activeCell="U28" sqref="U28"/>
    </sheetView>
  </sheetViews>
  <sheetFormatPr defaultRowHeight="14.5" x14ac:dyDescent="0.35"/>
  <cols>
    <col min="1" max="1" width="6.36328125" bestFit="1" customWidth="1"/>
    <col min="2" max="2" width="10.54296875" bestFit="1" customWidth="1"/>
    <col min="3" max="3" width="17.7265625" bestFit="1" customWidth="1"/>
    <col min="4" max="4" width="8.81640625" bestFit="1" customWidth="1"/>
    <col min="5" max="5" width="11.54296875" bestFit="1" customWidth="1"/>
    <col min="6" max="6" width="11.26953125" bestFit="1" customWidth="1"/>
    <col min="7" max="8" width="11.08984375" bestFit="1" customWidth="1"/>
  </cols>
  <sheetData>
    <row r="1" spans="1:24" x14ac:dyDescent="0.35">
      <c r="A1" s="8" t="s">
        <v>0</v>
      </c>
      <c r="B1" s="8" t="s">
        <v>20</v>
      </c>
      <c r="C1" s="8" t="s">
        <v>21</v>
      </c>
      <c r="D1" s="8" t="s">
        <v>22</v>
      </c>
      <c r="E1" s="8" t="s">
        <v>45</v>
      </c>
      <c r="F1" s="8" t="s">
        <v>24</v>
      </c>
      <c r="G1" s="8" t="s">
        <v>46</v>
      </c>
      <c r="H1" s="8" t="s">
        <v>47</v>
      </c>
    </row>
    <row r="2" spans="1:24" x14ac:dyDescent="0.35">
      <c r="A2" s="11">
        <v>1</v>
      </c>
      <c r="B2" s="11" t="s">
        <v>26</v>
      </c>
      <c r="C2" s="11" t="s">
        <v>27</v>
      </c>
      <c r="D2" s="11">
        <f>Dau_vao!$C$10</f>
        <v>1</v>
      </c>
      <c r="E2" s="12">
        <f>Dau_vao!$D$10</f>
        <v>12250000</v>
      </c>
      <c r="F2" s="12">
        <f>Dau_vao!$E$10</f>
        <v>5250000</v>
      </c>
      <c r="G2" s="12">
        <f t="shared" ref="G2:G33" si="0">D2*(E2+F2)</f>
        <v>17500000</v>
      </c>
      <c r="H2" s="12">
        <f t="shared" ref="H2:H33" si="1">SUMIFS(G:G, A:A, A2, B:B, B2)</f>
        <v>64400000</v>
      </c>
    </row>
    <row r="3" spans="1:24" x14ac:dyDescent="0.35">
      <c r="A3" s="11">
        <v>1</v>
      </c>
      <c r="B3" s="11" t="s">
        <v>26</v>
      </c>
      <c r="C3" s="11" t="s">
        <v>28</v>
      </c>
      <c r="D3" s="11">
        <f>Dau_vao!$C$11</f>
        <v>2</v>
      </c>
      <c r="E3" s="12">
        <f>Dau_vao!$D$11</f>
        <v>7349999.9999999991</v>
      </c>
      <c r="F3" s="12">
        <f>Dau_vao!$E$11</f>
        <v>3150000</v>
      </c>
      <c r="G3" s="12">
        <f t="shared" si="0"/>
        <v>21000000</v>
      </c>
      <c r="H3" s="12">
        <f t="shared" si="1"/>
        <v>64400000</v>
      </c>
    </row>
    <row r="4" spans="1:24" x14ac:dyDescent="0.35">
      <c r="A4" s="11">
        <v>1</v>
      </c>
      <c r="B4" s="11" t="s">
        <v>26</v>
      </c>
      <c r="C4" s="11" t="s">
        <v>29</v>
      </c>
      <c r="D4" s="11">
        <f>Dau_vao!$C$12</f>
        <v>2</v>
      </c>
      <c r="E4" s="12">
        <f>Dau_vao!$D$12</f>
        <v>5880000</v>
      </c>
      <c r="F4" s="12">
        <f>Dau_vao!$E$12</f>
        <v>2520000</v>
      </c>
      <c r="G4" s="12">
        <f t="shared" si="0"/>
        <v>16800000</v>
      </c>
      <c r="H4" s="12">
        <f t="shared" si="1"/>
        <v>64400000</v>
      </c>
    </row>
    <row r="5" spans="1:24" x14ac:dyDescent="0.35">
      <c r="A5" s="11">
        <v>1</v>
      </c>
      <c r="B5" s="11" t="s">
        <v>26</v>
      </c>
      <c r="C5" s="11" t="s">
        <v>30</v>
      </c>
      <c r="D5" s="11">
        <f>Dau_vao!$C$13</f>
        <v>1</v>
      </c>
      <c r="E5" s="12">
        <f>Dau_vao!$D$13</f>
        <v>6370000</v>
      </c>
      <c r="F5" s="12">
        <f>Dau_vao!$E$13</f>
        <v>2730000</v>
      </c>
      <c r="G5" s="12">
        <f t="shared" si="0"/>
        <v>9100000</v>
      </c>
      <c r="H5" s="12">
        <f t="shared" si="1"/>
        <v>64400000</v>
      </c>
    </row>
    <row r="6" spans="1:24" x14ac:dyDescent="0.35">
      <c r="A6" s="11">
        <v>1</v>
      </c>
      <c r="B6" s="11" t="s">
        <v>31</v>
      </c>
      <c r="C6" s="11" t="s">
        <v>32</v>
      </c>
      <c r="D6" s="11">
        <f>Dau_vao!$C$14</f>
        <v>1</v>
      </c>
      <c r="E6" s="12">
        <f>Dau_vao!$D$14</f>
        <v>9800000</v>
      </c>
      <c r="F6" s="12">
        <f>Dau_vao!$E$14</f>
        <v>4200000</v>
      </c>
      <c r="G6" s="12">
        <f t="shared" si="0"/>
        <v>14000000</v>
      </c>
      <c r="H6" s="12">
        <f t="shared" si="1"/>
        <v>72800000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x14ac:dyDescent="0.35">
      <c r="A7" s="11">
        <v>1</v>
      </c>
      <c r="B7" s="11" t="s">
        <v>31</v>
      </c>
      <c r="C7" s="11" t="s">
        <v>33</v>
      </c>
      <c r="D7" s="11">
        <f>Dau_vao!$C$15</f>
        <v>2</v>
      </c>
      <c r="E7" s="12">
        <f>Dau_vao!$D$15</f>
        <v>5880000</v>
      </c>
      <c r="F7" s="12">
        <f>Dau_vao!$E$15</f>
        <v>2520000</v>
      </c>
      <c r="G7" s="12">
        <f t="shared" si="0"/>
        <v>16800000</v>
      </c>
      <c r="H7" s="12">
        <f t="shared" si="1"/>
        <v>72800000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 x14ac:dyDescent="0.35">
      <c r="A8" s="11">
        <v>1</v>
      </c>
      <c r="B8" s="11" t="s">
        <v>31</v>
      </c>
      <c r="C8" s="11" t="s">
        <v>34</v>
      </c>
      <c r="D8" s="11">
        <f>Dau_vao!$C$16 + (1 * Assumptions!$B$6)</f>
        <v>6</v>
      </c>
      <c r="E8" s="12">
        <f>Dau_vao!$D$16</f>
        <v>4900000</v>
      </c>
      <c r="F8" s="12">
        <f>Dau_vao!$E$16</f>
        <v>2100000</v>
      </c>
      <c r="G8" s="12">
        <f t="shared" si="0"/>
        <v>42000000</v>
      </c>
      <c r="H8" s="12">
        <f t="shared" si="1"/>
        <v>72800000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 x14ac:dyDescent="0.35">
      <c r="A9" s="11">
        <v>1</v>
      </c>
      <c r="B9" s="11" t="s">
        <v>35</v>
      </c>
      <c r="C9" s="11" t="s">
        <v>35</v>
      </c>
      <c r="D9" s="11">
        <f>Dau_vao!$C$17</f>
        <v>1</v>
      </c>
      <c r="E9" s="12">
        <f>Dau_vao!$D$17</f>
        <v>7349999.9999999991</v>
      </c>
      <c r="F9" s="12">
        <f>Dau_vao!$E$17</f>
        <v>3150000</v>
      </c>
      <c r="G9" s="12">
        <f t="shared" si="0"/>
        <v>10500000</v>
      </c>
      <c r="H9" s="12">
        <f t="shared" si="1"/>
        <v>10500000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 x14ac:dyDescent="0.35">
      <c r="A10" s="11">
        <v>1</v>
      </c>
      <c r="B10" s="11" t="s">
        <v>36</v>
      </c>
      <c r="C10" s="11" t="s">
        <v>37</v>
      </c>
      <c r="D10" s="11">
        <f>Dau_vao!$C$18</f>
        <v>1</v>
      </c>
      <c r="E10" s="12">
        <f>Dau_vao!$D$18</f>
        <v>9800000</v>
      </c>
      <c r="F10" s="12">
        <f>Dau_vao!$E$18</f>
        <v>4200000</v>
      </c>
      <c r="G10" s="12">
        <f t="shared" si="0"/>
        <v>14000000</v>
      </c>
      <c r="H10" s="12">
        <f t="shared" si="1"/>
        <v>62300000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 x14ac:dyDescent="0.35">
      <c r="A11" s="11">
        <v>1</v>
      </c>
      <c r="B11" s="11" t="s">
        <v>36</v>
      </c>
      <c r="C11" s="11" t="s">
        <v>38</v>
      </c>
      <c r="D11" s="11">
        <f>Dau_vao!$C$19</f>
        <v>2</v>
      </c>
      <c r="E11" s="12">
        <f>Dau_vao!$D$19</f>
        <v>10780000</v>
      </c>
      <c r="F11" s="12">
        <f>Dau_vao!$E$19</f>
        <v>4620000</v>
      </c>
      <c r="G11" s="12">
        <f t="shared" si="0"/>
        <v>30800000</v>
      </c>
      <c r="H11" s="12">
        <f t="shared" si="1"/>
        <v>62300000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 x14ac:dyDescent="0.35">
      <c r="A12" s="11">
        <v>1</v>
      </c>
      <c r="B12" s="11" t="s">
        <v>36</v>
      </c>
      <c r="C12" s="11" t="s">
        <v>39</v>
      </c>
      <c r="D12" s="11">
        <f>Dau_vao!$C$20</f>
        <v>1</v>
      </c>
      <c r="E12" s="12">
        <f>Dau_vao!$D$20</f>
        <v>12250000</v>
      </c>
      <c r="F12" s="12">
        <f>Dau_vao!$E$20</f>
        <v>5250000</v>
      </c>
      <c r="G12" s="12">
        <f t="shared" si="0"/>
        <v>17500000</v>
      </c>
      <c r="H12" s="12">
        <f t="shared" si="1"/>
        <v>62300000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x14ac:dyDescent="0.35">
      <c r="A13" s="11">
        <v>1</v>
      </c>
      <c r="B13" s="11" t="s">
        <v>40</v>
      </c>
      <c r="C13" s="11" t="s">
        <v>41</v>
      </c>
      <c r="D13" s="11">
        <f>Dau_vao!$C$21</f>
        <v>1</v>
      </c>
      <c r="E13" s="12">
        <f>Dau_vao!$D$21</f>
        <v>10780000</v>
      </c>
      <c r="F13" s="12">
        <f>Dau_vao!$E$21</f>
        <v>4620000</v>
      </c>
      <c r="G13" s="12">
        <f t="shared" si="0"/>
        <v>15400000</v>
      </c>
      <c r="H13" s="12">
        <f t="shared" si="1"/>
        <v>56700000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 x14ac:dyDescent="0.35">
      <c r="A14" s="11">
        <v>1</v>
      </c>
      <c r="B14" s="11" t="s">
        <v>40</v>
      </c>
      <c r="C14" s="11" t="s">
        <v>42</v>
      </c>
      <c r="D14" s="11">
        <f>Dau_vao!$C$22</f>
        <v>2</v>
      </c>
      <c r="E14" s="12">
        <f>Dau_vao!$D$22</f>
        <v>5880000</v>
      </c>
      <c r="F14" s="12">
        <f>Dau_vao!$E$22</f>
        <v>2520000</v>
      </c>
      <c r="G14" s="12">
        <f t="shared" si="0"/>
        <v>16800000</v>
      </c>
      <c r="H14" s="12">
        <f t="shared" si="1"/>
        <v>56700000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 x14ac:dyDescent="0.35">
      <c r="A15" s="11">
        <v>1</v>
      </c>
      <c r="B15" s="11" t="s">
        <v>40</v>
      </c>
      <c r="C15" s="11" t="s">
        <v>43</v>
      </c>
      <c r="D15" s="11">
        <f>Dau_vao!$C$23</f>
        <v>1</v>
      </c>
      <c r="E15" s="12">
        <f>Dau_vao!$D$23</f>
        <v>7349999.9999999991</v>
      </c>
      <c r="F15" s="12">
        <f>Dau_vao!$E$23</f>
        <v>3150000</v>
      </c>
      <c r="G15" s="12">
        <f t="shared" si="0"/>
        <v>10500000</v>
      </c>
      <c r="H15" s="12">
        <f t="shared" si="1"/>
        <v>56700000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 x14ac:dyDescent="0.35">
      <c r="A16" s="11">
        <v>1</v>
      </c>
      <c r="B16" s="11" t="s">
        <v>40</v>
      </c>
      <c r="C16" s="11" t="s">
        <v>44</v>
      </c>
      <c r="D16" s="11">
        <f>Dau_vao!$C$24</f>
        <v>2</v>
      </c>
      <c r="E16" s="12">
        <f>Dau_vao!$D$24</f>
        <v>4900000</v>
      </c>
      <c r="F16" s="12">
        <f>Dau_vao!$E$24</f>
        <v>2100000</v>
      </c>
      <c r="G16" s="12">
        <f t="shared" si="0"/>
        <v>14000000</v>
      </c>
      <c r="H16" s="12">
        <f t="shared" si="1"/>
        <v>56700000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1:24" x14ac:dyDescent="0.35">
      <c r="A17" s="2">
        <v>2</v>
      </c>
      <c r="B17" s="2" t="s">
        <v>26</v>
      </c>
      <c r="C17" s="2" t="s">
        <v>27</v>
      </c>
      <c r="D17" s="9">
        <f>Dau_vao!$C$10</f>
        <v>1</v>
      </c>
      <c r="E17" s="3">
        <f>Dau_vao!$D$10</f>
        <v>12250000</v>
      </c>
      <c r="F17" s="3">
        <f>Dau_vao!$E$10</f>
        <v>5250000</v>
      </c>
      <c r="G17" s="3">
        <f t="shared" si="0"/>
        <v>17500000</v>
      </c>
      <c r="H17" s="3">
        <f t="shared" si="1"/>
        <v>64400000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1:24" x14ac:dyDescent="0.35">
      <c r="A18" s="2">
        <v>2</v>
      </c>
      <c r="B18" s="2" t="s">
        <v>26</v>
      </c>
      <c r="C18" s="2" t="s">
        <v>28</v>
      </c>
      <c r="D18" s="9">
        <f>Dau_vao!$C$11</f>
        <v>2</v>
      </c>
      <c r="E18" s="3">
        <f>Dau_vao!$D$11</f>
        <v>7349999.9999999991</v>
      </c>
      <c r="F18" s="3">
        <f>Dau_vao!$E$11</f>
        <v>3150000</v>
      </c>
      <c r="G18" s="3">
        <f t="shared" si="0"/>
        <v>21000000</v>
      </c>
      <c r="H18" s="3">
        <f t="shared" si="1"/>
        <v>64400000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1:24" x14ac:dyDescent="0.35">
      <c r="A19" s="2">
        <v>2</v>
      </c>
      <c r="B19" s="2" t="s">
        <v>26</v>
      </c>
      <c r="C19" s="2" t="s">
        <v>29</v>
      </c>
      <c r="D19" s="9">
        <f>Dau_vao!$C$12</f>
        <v>2</v>
      </c>
      <c r="E19" s="3">
        <f>Dau_vao!$D$12</f>
        <v>5880000</v>
      </c>
      <c r="F19" s="3">
        <f>Dau_vao!$E$12</f>
        <v>2520000</v>
      </c>
      <c r="G19" s="3">
        <f t="shared" si="0"/>
        <v>16800000</v>
      </c>
      <c r="H19" s="3">
        <f t="shared" si="1"/>
        <v>64400000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1:24" x14ac:dyDescent="0.35">
      <c r="A20" s="2">
        <v>2</v>
      </c>
      <c r="B20" s="2" t="s">
        <v>26</v>
      </c>
      <c r="C20" s="2" t="s">
        <v>30</v>
      </c>
      <c r="D20" s="9">
        <f>Dau_vao!$C$13</f>
        <v>1</v>
      </c>
      <c r="E20" s="3">
        <f>Dau_vao!$D$13</f>
        <v>6370000</v>
      </c>
      <c r="F20" s="3">
        <f>Dau_vao!$E$13</f>
        <v>2730000</v>
      </c>
      <c r="G20" s="3">
        <f t="shared" si="0"/>
        <v>9100000</v>
      </c>
      <c r="H20" s="3">
        <f t="shared" si="1"/>
        <v>64400000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1:24" x14ac:dyDescent="0.35">
      <c r="A21" s="2">
        <v>2</v>
      </c>
      <c r="B21" s="2" t="s">
        <v>31</v>
      </c>
      <c r="C21" s="2" t="s">
        <v>32</v>
      </c>
      <c r="D21" s="9">
        <f>Dau_vao!$C$14</f>
        <v>1</v>
      </c>
      <c r="E21" s="3">
        <f>Dau_vao!$D$14</f>
        <v>9800000</v>
      </c>
      <c r="F21" s="3">
        <f>Dau_vao!$E$14</f>
        <v>4200000</v>
      </c>
      <c r="G21" s="3">
        <f t="shared" si="0"/>
        <v>14000000</v>
      </c>
      <c r="H21" s="3">
        <f t="shared" si="1"/>
        <v>79800000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1:24" x14ac:dyDescent="0.35">
      <c r="A22" s="2">
        <v>2</v>
      </c>
      <c r="B22" s="2" t="s">
        <v>31</v>
      </c>
      <c r="C22" s="2" t="s">
        <v>33</v>
      </c>
      <c r="D22" s="9">
        <f>Dau_vao!$C$15</f>
        <v>2</v>
      </c>
      <c r="E22" s="3">
        <f>Dau_vao!$D$15</f>
        <v>5880000</v>
      </c>
      <c r="F22" s="3">
        <f>Dau_vao!$E$15</f>
        <v>2520000</v>
      </c>
      <c r="G22" s="3">
        <f t="shared" si="0"/>
        <v>16800000</v>
      </c>
      <c r="H22" s="3">
        <f t="shared" si="1"/>
        <v>79800000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1:24" x14ac:dyDescent="0.35">
      <c r="A23" s="2">
        <v>2</v>
      </c>
      <c r="B23" s="2" t="s">
        <v>31</v>
      </c>
      <c r="C23" s="2" t="s">
        <v>34</v>
      </c>
      <c r="D23" s="9">
        <f>Dau_vao!$C$16 + (2 * Assumptions!$B$6)</f>
        <v>7</v>
      </c>
      <c r="E23" s="3">
        <f>Dau_vao!$D$16</f>
        <v>4900000</v>
      </c>
      <c r="F23" s="3">
        <f>Dau_vao!$E$16</f>
        <v>2100000</v>
      </c>
      <c r="G23" s="3">
        <f t="shared" si="0"/>
        <v>49000000</v>
      </c>
      <c r="H23" s="3">
        <f t="shared" si="1"/>
        <v>79800000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1:24" x14ac:dyDescent="0.35">
      <c r="A24" s="2">
        <v>2</v>
      </c>
      <c r="B24" s="2" t="s">
        <v>35</v>
      </c>
      <c r="C24" s="2" t="s">
        <v>35</v>
      </c>
      <c r="D24" s="9">
        <f>Dau_vao!$C$17</f>
        <v>1</v>
      </c>
      <c r="E24" s="3">
        <f>Dau_vao!$D$17</f>
        <v>7349999.9999999991</v>
      </c>
      <c r="F24" s="3">
        <f>Dau_vao!$E$17</f>
        <v>3150000</v>
      </c>
      <c r="G24" s="3">
        <f t="shared" si="0"/>
        <v>10500000</v>
      </c>
      <c r="H24" s="3">
        <f t="shared" si="1"/>
        <v>10500000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1:24" x14ac:dyDescent="0.35">
      <c r="A25" s="2">
        <v>2</v>
      </c>
      <c r="B25" s="2" t="s">
        <v>36</v>
      </c>
      <c r="C25" s="2" t="s">
        <v>37</v>
      </c>
      <c r="D25" s="9">
        <f>Dau_vao!$C$18</f>
        <v>1</v>
      </c>
      <c r="E25" s="3">
        <f>Dau_vao!$D$18</f>
        <v>9800000</v>
      </c>
      <c r="F25" s="3">
        <f>Dau_vao!$E$18</f>
        <v>4200000</v>
      </c>
      <c r="G25" s="3">
        <f t="shared" si="0"/>
        <v>14000000</v>
      </c>
      <c r="H25" s="3">
        <f t="shared" si="1"/>
        <v>62300000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1:24" x14ac:dyDescent="0.35">
      <c r="A26" s="2">
        <v>2</v>
      </c>
      <c r="B26" s="2" t="s">
        <v>36</v>
      </c>
      <c r="C26" s="2" t="s">
        <v>38</v>
      </c>
      <c r="D26" s="9">
        <f>Dau_vao!$C$19</f>
        <v>2</v>
      </c>
      <c r="E26" s="3">
        <f>Dau_vao!$D$19</f>
        <v>10780000</v>
      </c>
      <c r="F26" s="3">
        <f>Dau_vao!$E$19</f>
        <v>4620000</v>
      </c>
      <c r="G26" s="3">
        <f t="shared" si="0"/>
        <v>30800000</v>
      </c>
      <c r="H26" s="3">
        <f t="shared" si="1"/>
        <v>62300000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1:24" x14ac:dyDescent="0.35">
      <c r="A27" s="2">
        <v>2</v>
      </c>
      <c r="B27" s="2" t="s">
        <v>36</v>
      </c>
      <c r="C27" s="2" t="s">
        <v>39</v>
      </c>
      <c r="D27" s="9">
        <f>Dau_vao!$C$20</f>
        <v>1</v>
      </c>
      <c r="E27" s="3">
        <f>Dau_vao!$D$20</f>
        <v>12250000</v>
      </c>
      <c r="F27" s="3">
        <f>Dau_vao!$E$20</f>
        <v>5250000</v>
      </c>
      <c r="G27" s="3">
        <f t="shared" si="0"/>
        <v>17500000</v>
      </c>
      <c r="H27" s="3">
        <f t="shared" si="1"/>
        <v>62300000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1:24" x14ac:dyDescent="0.35">
      <c r="A28" s="2">
        <v>2</v>
      </c>
      <c r="B28" s="2" t="s">
        <v>40</v>
      </c>
      <c r="C28" s="2" t="s">
        <v>41</v>
      </c>
      <c r="D28" s="9">
        <f>Dau_vao!$C$21</f>
        <v>1</v>
      </c>
      <c r="E28" s="3">
        <f>Dau_vao!$D$21</f>
        <v>10780000</v>
      </c>
      <c r="F28" s="3">
        <f>Dau_vao!$E$21</f>
        <v>4620000</v>
      </c>
      <c r="G28" s="3">
        <f t="shared" si="0"/>
        <v>15400000</v>
      </c>
      <c r="H28" s="3">
        <f t="shared" si="1"/>
        <v>56700000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x14ac:dyDescent="0.35">
      <c r="A29" s="2">
        <v>2</v>
      </c>
      <c r="B29" s="2" t="s">
        <v>40</v>
      </c>
      <c r="C29" s="2" t="s">
        <v>42</v>
      </c>
      <c r="D29" s="9">
        <f>Dau_vao!$C$22</f>
        <v>2</v>
      </c>
      <c r="E29" s="3">
        <f>Dau_vao!$D$22</f>
        <v>5880000</v>
      </c>
      <c r="F29" s="3">
        <f>Dau_vao!$E$22</f>
        <v>2520000</v>
      </c>
      <c r="G29" s="3">
        <f t="shared" si="0"/>
        <v>16800000</v>
      </c>
      <c r="H29" s="3">
        <f t="shared" si="1"/>
        <v>56700000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35">
      <c r="A30" s="2">
        <v>2</v>
      </c>
      <c r="B30" s="2" t="s">
        <v>40</v>
      </c>
      <c r="C30" s="2" t="s">
        <v>43</v>
      </c>
      <c r="D30" s="9">
        <f>Dau_vao!$C$23</f>
        <v>1</v>
      </c>
      <c r="E30" s="3">
        <f>Dau_vao!$D$23</f>
        <v>7349999.9999999991</v>
      </c>
      <c r="F30" s="3">
        <f>Dau_vao!$E$23</f>
        <v>3150000</v>
      </c>
      <c r="G30" s="3">
        <f t="shared" si="0"/>
        <v>10500000</v>
      </c>
      <c r="H30" s="3">
        <f t="shared" si="1"/>
        <v>56700000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1:24" x14ac:dyDescent="0.35">
      <c r="A31" s="2">
        <v>2</v>
      </c>
      <c r="B31" s="2" t="s">
        <v>40</v>
      </c>
      <c r="C31" s="2" t="s">
        <v>44</v>
      </c>
      <c r="D31" s="9">
        <f>Dau_vao!$C$24</f>
        <v>2</v>
      </c>
      <c r="E31" s="3">
        <f>Dau_vao!$D$24</f>
        <v>4900000</v>
      </c>
      <c r="F31" s="3">
        <f>Dau_vao!$E$24</f>
        <v>2100000</v>
      </c>
      <c r="G31" s="3">
        <f t="shared" si="0"/>
        <v>14000000</v>
      </c>
      <c r="H31" s="3">
        <f t="shared" si="1"/>
        <v>56700000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x14ac:dyDescent="0.35">
      <c r="A32" s="11">
        <v>3</v>
      </c>
      <c r="B32" s="11" t="s">
        <v>26</v>
      </c>
      <c r="C32" s="11" t="s">
        <v>27</v>
      </c>
      <c r="D32" s="11">
        <f>Dau_vao!$C$10</f>
        <v>1</v>
      </c>
      <c r="E32" s="12">
        <f>Dau_vao!$D$10</f>
        <v>12250000</v>
      </c>
      <c r="F32" s="12">
        <f>Dau_vao!$E$10</f>
        <v>5250000</v>
      </c>
      <c r="G32" s="12">
        <f t="shared" si="0"/>
        <v>17500000</v>
      </c>
      <c r="H32" s="12">
        <f t="shared" si="1"/>
        <v>64400000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1:24" x14ac:dyDescent="0.35">
      <c r="A33" s="11">
        <v>3</v>
      </c>
      <c r="B33" s="11" t="s">
        <v>26</v>
      </c>
      <c r="C33" s="11" t="s">
        <v>28</v>
      </c>
      <c r="D33" s="11">
        <f>Dau_vao!$C$11</f>
        <v>2</v>
      </c>
      <c r="E33" s="12">
        <f>Dau_vao!$D$11</f>
        <v>7349999.9999999991</v>
      </c>
      <c r="F33" s="12">
        <f>Dau_vao!$E$11</f>
        <v>3150000</v>
      </c>
      <c r="G33" s="12">
        <f t="shared" si="0"/>
        <v>21000000</v>
      </c>
      <c r="H33" s="12">
        <f t="shared" si="1"/>
        <v>64400000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x14ac:dyDescent="0.35">
      <c r="A34" s="11">
        <v>3</v>
      </c>
      <c r="B34" s="11" t="s">
        <v>26</v>
      </c>
      <c r="C34" s="11" t="s">
        <v>29</v>
      </c>
      <c r="D34" s="11">
        <f>Dau_vao!$C$12</f>
        <v>2</v>
      </c>
      <c r="E34" s="12">
        <f>Dau_vao!$D$12</f>
        <v>5880000</v>
      </c>
      <c r="F34" s="12">
        <f>Dau_vao!$E$12</f>
        <v>2520000</v>
      </c>
      <c r="G34" s="12">
        <f t="shared" ref="G34:G65" si="2">D34*(E34+F34)</f>
        <v>16800000</v>
      </c>
      <c r="H34" s="12">
        <f t="shared" ref="H34:H65" si="3">SUMIFS(G:G, A:A, A34, B:B, B34)</f>
        <v>64400000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1:24" x14ac:dyDescent="0.35">
      <c r="A35" s="11">
        <v>3</v>
      </c>
      <c r="B35" s="11" t="s">
        <v>26</v>
      </c>
      <c r="C35" s="11" t="s">
        <v>30</v>
      </c>
      <c r="D35" s="11">
        <f>Dau_vao!$C$13</f>
        <v>1</v>
      </c>
      <c r="E35" s="12">
        <f>Dau_vao!$D$13</f>
        <v>6370000</v>
      </c>
      <c r="F35" s="12">
        <f>Dau_vao!$E$13</f>
        <v>2730000</v>
      </c>
      <c r="G35" s="12">
        <f t="shared" si="2"/>
        <v>9100000</v>
      </c>
      <c r="H35" s="12">
        <f t="shared" si="3"/>
        <v>64400000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35">
      <c r="A36" s="11">
        <v>3</v>
      </c>
      <c r="B36" s="11" t="s">
        <v>31</v>
      </c>
      <c r="C36" s="11" t="s">
        <v>32</v>
      </c>
      <c r="D36" s="11">
        <f>Dau_vao!$C$14</f>
        <v>1</v>
      </c>
      <c r="E36" s="12">
        <f>Dau_vao!$D$14</f>
        <v>9800000</v>
      </c>
      <c r="F36" s="12">
        <f>Dau_vao!$E$14</f>
        <v>4200000</v>
      </c>
      <c r="G36" s="12">
        <f t="shared" si="2"/>
        <v>14000000</v>
      </c>
      <c r="H36" s="12">
        <f t="shared" si="3"/>
        <v>86800000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x14ac:dyDescent="0.35">
      <c r="A37" s="11">
        <v>3</v>
      </c>
      <c r="B37" s="11" t="s">
        <v>31</v>
      </c>
      <c r="C37" s="11" t="s">
        <v>33</v>
      </c>
      <c r="D37" s="11">
        <f>Dau_vao!$C$15</f>
        <v>2</v>
      </c>
      <c r="E37" s="12">
        <f>Dau_vao!$D$15</f>
        <v>5880000</v>
      </c>
      <c r="F37" s="12">
        <f>Dau_vao!$E$15</f>
        <v>2520000</v>
      </c>
      <c r="G37" s="12">
        <f t="shared" si="2"/>
        <v>16800000</v>
      </c>
      <c r="H37" s="12">
        <f t="shared" si="3"/>
        <v>86800000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x14ac:dyDescent="0.35">
      <c r="A38" s="11">
        <v>3</v>
      </c>
      <c r="B38" s="11" t="s">
        <v>31</v>
      </c>
      <c r="C38" s="11" t="s">
        <v>34</v>
      </c>
      <c r="D38" s="11">
        <f>Dau_vao!$C$16 + (3 * Assumptions!$B$6)</f>
        <v>8</v>
      </c>
      <c r="E38" s="12">
        <f>Dau_vao!$D$16</f>
        <v>4900000</v>
      </c>
      <c r="F38" s="12">
        <f>Dau_vao!$E$16</f>
        <v>2100000</v>
      </c>
      <c r="G38" s="12">
        <f t="shared" si="2"/>
        <v>56000000</v>
      </c>
      <c r="H38" s="12">
        <f t="shared" si="3"/>
        <v>86800000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x14ac:dyDescent="0.35">
      <c r="A39" s="11">
        <v>3</v>
      </c>
      <c r="B39" s="11" t="s">
        <v>35</v>
      </c>
      <c r="C39" s="11" t="s">
        <v>35</v>
      </c>
      <c r="D39" s="11">
        <f>Dau_vao!$C$17</f>
        <v>1</v>
      </c>
      <c r="E39" s="12">
        <f>Dau_vao!$D$17</f>
        <v>7349999.9999999991</v>
      </c>
      <c r="F39" s="12">
        <f>Dau_vao!$E$17</f>
        <v>3150000</v>
      </c>
      <c r="G39" s="12">
        <f t="shared" si="2"/>
        <v>10500000</v>
      </c>
      <c r="H39" s="12">
        <f t="shared" si="3"/>
        <v>10500000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x14ac:dyDescent="0.35">
      <c r="A40" s="11">
        <v>3</v>
      </c>
      <c r="B40" s="11" t="s">
        <v>36</v>
      </c>
      <c r="C40" s="11" t="s">
        <v>37</v>
      </c>
      <c r="D40" s="11">
        <f>Dau_vao!$C$18</f>
        <v>1</v>
      </c>
      <c r="E40" s="12">
        <f>Dau_vao!$D$18</f>
        <v>9800000</v>
      </c>
      <c r="F40" s="12">
        <f>Dau_vao!$E$18</f>
        <v>4200000</v>
      </c>
      <c r="G40" s="12">
        <f t="shared" si="2"/>
        <v>14000000</v>
      </c>
      <c r="H40" s="12">
        <f t="shared" si="3"/>
        <v>62300000</v>
      </c>
    </row>
    <row r="41" spans="1:24" x14ac:dyDescent="0.35">
      <c r="A41" s="11">
        <v>3</v>
      </c>
      <c r="B41" s="11" t="s">
        <v>36</v>
      </c>
      <c r="C41" s="11" t="s">
        <v>38</v>
      </c>
      <c r="D41" s="11">
        <f>Dau_vao!$C$19</f>
        <v>2</v>
      </c>
      <c r="E41" s="12">
        <f>Dau_vao!$D$19</f>
        <v>10780000</v>
      </c>
      <c r="F41" s="12">
        <f>Dau_vao!$E$19</f>
        <v>4620000</v>
      </c>
      <c r="G41" s="12">
        <f t="shared" si="2"/>
        <v>30800000</v>
      </c>
      <c r="H41" s="12">
        <f t="shared" si="3"/>
        <v>62300000</v>
      </c>
    </row>
    <row r="42" spans="1:24" x14ac:dyDescent="0.35">
      <c r="A42" s="11">
        <v>3</v>
      </c>
      <c r="B42" s="11" t="s">
        <v>36</v>
      </c>
      <c r="C42" s="11" t="s">
        <v>39</v>
      </c>
      <c r="D42" s="11">
        <f>Dau_vao!$C$20</f>
        <v>1</v>
      </c>
      <c r="E42" s="12">
        <f>Dau_vao!$D$20</f>
        <v>12250000</v>
      </c>
      <c r="F42" s="12">
        <f>Dau_vao!$E$20</f>
        <v>5250000</v>
      </c>
      <c r="G42" s="12">
        <f t="shared" si="2"/>
        <v>17500000</v>
      </c>
      <c r="H42" s="12">
        <f t="shared" si="3"/>
        <v>62300000</v>
      </c>
    </row>
    <row r="43" spans="1:24" x14ac:dyDescent="0.35">
      <c r="A43" s="11">
        <v>3</v>
      </c>
      <c r="B43" s="11" t="s">
        <v>40</v>
      </c>
      <c r="C43" s="11" t="s">
        <v>41</v>
      </c>
      <c r="D43" s="11">
        <f>Dau_vao!$C$21</f>
        <v>1</v>
      </c>
      <c r="E43" s="12">
        <f>Dau_vao!$D$21</f>
        <v>10780000</v>
      </c>
      <c r="F43" s="12">
        <f>Dau_vao!$E$21</f>
        <v>4620000</v>
      </c>
      <c r="G43" s="12">
        <f t="shared" si="2"/>
        <v>15400000</v>
      </c>
      <c r="H43" s="12">
        <f t="shared" si="3"/>
        <v>56700000</v>
      </c>
    </row>
    <row r="44" spans="1:24" x14ac:dyDescent="0.35">
      <c r="A44" s="11">
        <v>3</v>
      </c>
      <c r="B44" s="11" t="s">
        <v>40</v>
      </c>
      <c r="C44" s="11" t="s">
        <v>42</v>
      </c>
      <c r="D44" s="11">
        <f>Dau_vao!$C$22</f>
        <v>2</v>
      </c>
      <c r="E44" s="12">
        <f>Dau_vao!$D$22</f>
        <v>5880000</v>
      </c>
      <c r="F44" s="12">
        <f>Dau_vao!$E$22</f>
        <v>2520000</v>
      </c>
      <c r="G44" s="12">
        <f t="shared" si="2"/>
        <v>16800000</v>
      </c>
      <c r="H44" s="12">
        <f t="shared" si="3"/>
        <v>56700000</v>
      </c>
    </row>
    <row r="45" spans="1:24" x14ac:dyDescent="0.35">
      <c r="A45" s="11">
        <v>3</v>
      </c>
      <c r="B45" s="11" t="s">
        <v>40</v>
      </c>
      <c r="C45" s="11" t="s">
        <v>43</v>
      </c>
      <c r="D45" s="11">
        <f>Dau_vao!$C$23</f>
        <v>1</v>
      </c>
      <c r="E45" s="12">
        <f>Dau_vao!$D$23</f>
        <v>7349999.9999999991</v>
      </c>
      <c r="F45" s="12">
        <f>Dau_vao!$E$23</f>
        <v>3150000</v>
      </c>
      <c r="G45" s="12">
        <f t="shared" si="2"/>
        <v>10500000</v>
      </c>
      <c r="H45" s="12">
        <f t="shared" si="3"/>
        <v>56700000</v>
      </c>
    </row>
    <row r="46" spans="1:24" x14ac:dyDescent="0.35">
      <c r="A46" s="11">
        <v>3</v>
      </c>
      <c r="B46" s="11" t="s">
        <v>40</v>
      </c>
      <c r="C46" s="11" t="s">
        <v>44</v>
      </c>
      <c r="D46" s="11">
        <f>Dau_vao!$C$24</f>
        <v>2</v>
      </c>
      <c r="E46" s="12">
        <f>Dau_vao!$D$24</f>
        <v>4900000</v>
      </c>
      <c r="F46" s="12">
        <f>Dau_vao!$E$24</f>
        <v>2100000</v>
      </c>
      <c r="G46" s="12">
        <f t="shared" si="2"/>
        <v>14000000</v>
      </c>
      <c r="H46" s="12">
        <f t="shared" si="3"/>
        <v>56700000</v>
      </c>
    </row>
    <row r="47" spans="1:24" x14ac:dyDescent="0.35">
      <c r="A47" s="2">
        <v>4</v>
      </c>
      <c r="B47" s="2" t="s">
        <v>26</v>
      </c>
      <c r="C47" s="2" t="s">
        <v>27</v>
      </c>
      <c r="D47" s="9">
        <f>Dau_vao!$C$10</f>
        <v>1</v>
      </c>
      <c r="E47" s="3">
        <f>Dau_vao!$D$10</f>
        <v>12250000</v>
      </c>
      <c r="F47" s="3">
        <f>Dau_vao!$E$10</f>
        <v>5250000</v>
      </c>
      <c r="G47" s="3">
        <f t="shared" si="2"/>
        <v>17500000</v>
      </c>
      <c r="H47" s="3">
        <f t="shared" si="3"/>
        <v>64400000</v>
      </c>
    </row>
    <row r="48" spans="1:24" x14ac:dyDescent="0.35">
      <c r="A48" s="2">
        <v>4</v>
      </c>
      <c r="B48" s="2" t="s">
        <v>26</v>
      </c>
      <c r="C48" s="2" t="s">
        <v>28</v>
      </c>
      <c r="D48" s="9">
        <f>Dau_vao!$C$11</f>
        <v>2</v>
      </c>
      <c r="E48" s="3">
        <f>Dau_vao!$D$11</f>
        <v>7349999.9999999991</v>
      </c>
      <c r="F48" s="3">
        <f>Dau_vao!$E$11</f>
        <v>3150000</v>
      </c>
      <c r="G48" s="3">
        <f t="shared" si="2"/>
        <v>21000000</v>
      </c>
      <c r="H48" s="3">
        <f t="shared" si="3"/>
        <v>64400000</v>
      </c>
    </row>
    <row r="49" spans="1:8" x14ac:dyDescent="0.35">
      <c r="A49" s="2">
        <v>4</v>
      </c>
      <c r="B49" s="2" t="s">
        <v>26</v>
      </c>
      <c r="C49" s="2" t="s">
        <v>29</v>
      </c>
      <c r="D49" s="9">
        <f>Dau_vao!$C$12</f>
        <v>2</v>
      </c>
      <c r="E49" s="3">
        <f>Dau_vao!$D$12</f>
        <v>5880000</v>
      </c>
      <c r="F49" s="3">
        <f>Dau_vao!$E$12</f>
        <v>2520000</v>
      </c>
      <c r="G49" s="3">
        <f t="shared" si="2"/>
        <v>16800000</v>
      </c>
      <c r="H49" s="3">
        <f t="shared" si="3"/>
        <v>64400000</v>
      </c>
    </row>
    <row r="50" spans="1:8" x14ac:dyDescent="0.35">
      <c r="A50" s="2">
        <v>4</v>
      </c>
      <c r="B50" s="2" t="s">
        <v>26</v>
      </c>
      <c r="C50" s="2" t="s">
        <v>30</v>
      </c>
      <c r="D50" s="9">
        <f>Dau_vao!$C$13</f>
        <v>1</v>
      </c>
      <c r="E50" s="3">
        <f>Dau_vao!$D$13</f>
        <v>6370000</v>
      </c>
      <c r="F50" s="3">
        <f>Dau_vao!$E$13</f>
        <v>2730000</v>
      </c>
      <c r="G50" s="3">
        <f t="shared" si="2"/>
        <v>9100000</v>
      </c>
      <c r="H50" s="3">
        <f t="shared" si="3"/>
        <v>64400000</v>
      </c>
    </row>
    <row r="51" spans="1:8" x14ac:dyDescent="0.35">
      <c r="A51" s="2">
        <v>4</v>
      </c>
      <c r="B51" s="2" t="s">
        <v>31</v>
      </c>
      <c r="C51" s="2" t="s">
        <v>32</v>
      </c>
      <c r="D51" s="9">
        <f>Dau_vao!$C$14</f>
        <v>1</v>
      </c>
      <c r="E51" s="3">
        <f>Dau_vao!$D$14</f>
        <v>9800000</v>
      </c>
      <c r="F51" s="3">
        <f>Dau_vao!$E$14</f>
        <v>4200000</v>
      </c>
      <c r="G51" s="3">
        <f t="shared" si="2"/>
        <v>14000000</v>
      </c>
      <c r="H51" s="3">
        <f t="shared" si="3"/>
        <v>93800000</v>
      </c>
    </row>
    <row r="52" spans="1:8" x14ac:dyDescent="0.35">
      <c r="A52" s="2">
        <v>4</v>
      </c>
      <c r="B52" s="2" t="s">
        <v>31</v>
      </c>
      <c r="C52" s="2" t="s">
        <v>33</v>
      </c>
      <c r="D52" s="9">
        <f>Dau_vao!$C$15</f>
        <v>2</v>
      </c>
      <c r="E52" s="3">
        <f>Dau_vao!$D$15</f>
        <v>5880000</v>
      </c>
      <c r="F52" s="3">
        <f>Dau_vao!$E$15</f>
        <v>2520000</v>
      </c>
      <c r="G52" s="3">
        <f t="shared" si="2"/>
        <v>16800000</v>
      </c>
      <c r="H52" s="3">
        <f t="shared" si="3"/>
        <v>93800000</v>
      </c>
    </row>
    <row r="53" spans="1:8" x14ac:dyDescent="0.35">
      <c r="A53" s="2">
        <v>4</v>
      </c>
      <c r="B53" s="2" t="s">
        <v>31</v>
      </c>
      <c r="C53" s="2" t="s">
        <v>34</v>
      </c>
      <c r="D53" s="9">
        <f>Dau_vao!$C$16 + (4 * Assumptions!$B$6)</f>
        <v>9</v>
      </c>
      <c r="E53" s="3">
        <f>Dau_vao!$D$16</f>
        <v>4900000</v>
      </c>
      <c r="F53" s="3">
        <f>Dau_vao!$E$16</f>
        <v>2100000</v>
      </c>
      <c r="G53" s="3">
        <f t="shared" si="2"/>
        <v>63000000</v>
      </c>
      <c r="H53" s="3">
        <f t="shared" si="3"/>
        <v>93800000</v>
      </c>
    </row>
    <row r="54" spans="1:8" x14ac:dyDescent="0.35">
      <c r="A54" s="2">
        <v>4</v>
      </c>
      <c r="B54" s="2" t="s">
        <v>35</v>
      </c>
      <c r="C54" s="2" t="s">
        <v>35</v>
      </c>
      <c r="D54" s="9">
        <f>Dau_vao!$C$17</f>
        <v>1</v>
      </c>
      <c r="E54" s="3">
        <f>Dau_vao!$D$17</f>
        <v>7349999.9999999991</v>
      </c>
      <c r="F54" s="3">
        <f>Dau_vao!$E$17</f>
        <v>3150000</v>
      </c>
      <c r="G54" s="3">
        <f t="shared" si="2"/>
        <v>10500000</v>
      </c>
      <c r="H54" s="3">
        <f t="shared" si="3"/>
        <v>10500000</v>
      </c>
    </row>
    <row r="55" spans="1:8" x14ac:dyDescent="0.35">
      <c r="A55" s="2">
        <v>4</v>
      </c>
      <c r="B55" s="2" t="s">
        <v>36</v>
      </c>
      <c r="C55" s="2" t="s">
        <v>37</v>
      </c>
      <c r="D55" s="9">
        <f>Dau_vao!$C$18</f>
        <v>1</v>
      </c>
      <c r="E55" s="3">
        <f>Dau_vao!$D$18</f>
        <v>9800000</v>
      </c>
      <c r="F55" s="3">
        <f>Dau_vao!$E$18</f>
        <v>4200000</v>
      </c>
      <c r="G55" s="3">
        <f t="shared" si="2"/>
        <v>14000000</v>
      </c>
      <c r="H55" s="3">
        <f t="shared" si="3"/>
        <v>62300000</v>
      </c>
    </row>
    <row r="56" spans="1:8" x14ac:dyDescent="0.35">
      <c r="A56" s="2">
        <v>4</v>
      </c>
      <c r="B56" s="2" t="s">
        <v>36</v>
      </c>
      <c r="C56" s="2" t="s">
        <v>38</v>
      </c>
      <c r="D56" s="9">
        <f>Dau_vao!$C$19</f>
        <v>2</v>
      </c>
      <c r="E56" s="3">
        <f>Dau_vao!$D$19</f>
        <v>10780000</v>
      </c>
      <c r="F56" s="3">
        <f>Dau_vao!$E$19</f>
        <v>4620000</v>
      </c>
      <c r="G56" s="3">
        <f t="shared" si="2"/>
        <v>30800000</v>
      </c>
      <c r="H56" s="3">
        <f t="shared" si="3"/>
        <v>62300000</v>
      </c>
    </row>
    <row r="57" spans="1:8" x14ac:dyDescent="0.35">
      <c r="A57" s="2">
        <v>4</v>
      </c>
      <c r="B57" s="2" t="s">
        <v>36</v>
      </c>
      <c r="C57" s="2" t="s">
        <v>39</v>
      </c>
      <c r="D57" s="9">
        <f>Dau_vao!$C$20</f>
        <v>1</v>
      </c>
      <c r="E57" s="3">
        <f>Dau_vao!$D$20</f>
        <v>12250000</v>
      </c>
      <c r="F57" s="3">
        <f>Dau_vao!$E$20</f>
        <v>5250000</v>
      </c>
      <c r="G57" s="3">
        <f t="shared" si="2"/>
        <v>17500000</v>
      </c>
      <c r="H57" s="3">
        <f t="shared" si="3"/>
        <v>62300000</v>
      </c>
    </row>
    <row r="58" spans="1:8" x14ac:dyDescent="0.35">
      <c r="A58" s="2">
        <v>4</v>
      </c>
      <c r="B58" s="2" t="s">
        <v>40</v>
      </c>
      <c r="C58" s="2" t="s">
        <v>41</v>
      </c>
      <c r="D58" s="9">
        <f>Dau_vao!$C$21</f>
        <v>1</v>
      </c>
      <c r="E58" s="3">
        <f>Dau_vao!$D$21</f>
        <v>10780000</v>
      </c>
      <c r="F58" s="3">
        <f>Dau_vao!$E$21</f>
        <v>4620000</v>
      </c>
      <c r="G58" s="3">
        <f t="shared" si="2"/>
        <v>15400000</v>
      </c>
      <c r="H58" s="3">
        <f t="shared" si="3"/>
        <v>56700000</v>
      </c>
    </row>
    <row r="59" spans="1:8" x14ac:dyDescent="0.35">
      <c r="A59" s="2">
        <v>4</v>
      </c>
      <c r="B59" s="2" t="s">
        <v>40</v>
      </c>
      <c r="C59" s="2" t="s">
        <v>42</v>
      </c>
      <c r="D59" s="9">
        <f>Dau_vao!$C$22</f>
        <v>2</v>
      </c>
      <c r="E59" s="3">
        <f>Dau_vao!$D$22</f>
        <v>5880000</v>
      </c>
      <c r="F59" s="3">
        <f>Dau_vao!$E$22</f>
        <v>2520000</v>
      </c>
      <c r="G59" s="3">
        <f t="shared" si="2"/>
        <v>16800000</v>
      </c>
      <c r="H59" s="3">
        <f t="shared" si="3"/>
        <v>56700000</v>
      </c>
    </row>
    <row r="60" spans="1:8" x14ac:dyDescent="0.35">
      <c r="A60" s="2">
        <v>4</v>
      </c>
      <c r="B60" s="2" t="s">
        <v>40</v>
      </c>
      <c r="C60" s="2" t="s">
        <v>43</v>
      </c>
      <c r="D60" s="9">
        <f>Dau_vao!$C$23</f>
        <v>1</v>
      </c>
      <c r="E60" s="3">
        <f>Dau_vao!$D$23</f>
        <v>7349999.9999999991</v>
      </c>
      <c r="F60" s="3">
        <f>Dau_vao!$E$23</f>
        <v>3150000</v>
      </c>
      <c r="G60" s="3">
        <f t="shared" si="2"/>
        <v>10500000</v>
      </c>
      <c r="H60" s="3">
        <f t="shared" si="3"/>
        <v>56700000</v>
      </c>
    </row>
    <row r="61" spans="1:8" x14ac:dyDescent="0.35">
      <c r="A61" s="2">
        <v>4</v>
      </c>
      <c r="B61" s="2" t="s">
        <v>40</v>
      </c>
      <c r="C61" s="2" t="s">
        <v>44</v>
      </c>
      <c r="D61" s="9">
        <f>Dau_vao!$C$24</f>
        <v>2</v>
      </c>
      <c r="E61" s="3">
        <f>Dau_vao!$D$24</f>
        <v>4900000</v>
      </c>
      <c r="F61" s="3">
        <f>Dau_vao!$E$24</f>
        <v>2100000</v>
      </c>
      <c r="G61" s="3">
        <f t="shared" si="2"/>
        <v>14000000</v>
      </c>
      <c r="H61" s="3">
        <f t="shared" si="3"/>
        <v>56700000</v>
      </c>
    </row>
    <row r="62" spans="1:8" x14ac:dyDescent="0.35">
      <c r="A62" s="11">
        <v>5</v>
      </c>
      <c r="B62" s="11" t="s">
        <v>26</v>
      </c>
      <c r="C62" s="11" t="s">
        <v>27</v>
      </c>
      <c r="D62" s="11">
        <f>Dau_vao!$C$10</f>
        <v>1</v>
      </c>
      <c r="E62" s="12">
        <f>Dau_vao!$D$10</f>
        <v>12250000</v>
      </c>
      <c r="F62" s="12">
        <f>Dau_vao!$E$10</f>
        <v>5250000</v>
      </c>
      <c r="G62" s="12">
        <f t="shared" si="2"/>
        <v>17500000</v>
      </c>
      <c r="H62" s="12">
        <f t="shared" si="3"/>
        <v>64400000</v>
      </c>
    </row>
    <row r="63" spans="1:8" x14ac:dyDescent="0.35">
      <c r="A63" s="11">
        <v>5</v>
      </c>
      <c r="B63" s="11" t="s">
        <v>26</v>
      </c>
      <c r="C63" s="11" t="s">
        <v>28</v>
      </c>
      <c r="D63" s="11">
        <f>Dau_vao!$C$11</f>
        <v>2</v>
      </c>
      <c r="E63" s="12">
        <f>Dau_vao!$D$11</f>
        <v>7349999.9999999991</v>
      </c>
      <c r="F63" s="12">
        <f>Dau_vao!$E$11</f>
        <v>3150000</v>
      </c>
      <c r="G63" s="12">
        <f t="shared" si="2"/>
        <v>21000000</v>
      </c>
      <c r="H63" s="12">
        <f t="shared" si="3"/>
        <v>64400000</v>
      </c>
    </row>
    <row r="64" spans="1:8" x14ac:dyDescent="0.35">
      <c r="A64" s="11">
        <v>5</v>
      </c>
      <c r="B64" s="11" t="s">
        <v>26</v>
      </c>
      <c r="C64" s="11" t="s">
        <v>29</v>
      </c>
      <c r="D64" s="11">
        <f>Dau_vao!$C$12</f>
        <v>2</v>
      </c>
      <c r="E64" s="12">
        <f>Dau_vao!$D$12</f>
        <v>5880000</v>
      </c>
      <c r="F64" s="12">
        <f>Dau_vao!$E$12</f>
        <v>2520000</v>
      </c>
      <c r="G64" s="12">
        <f t="shared" si="2"/>
        <v>16800000</v>
      </c>
      <c r="H64" s="12">
        <f t="shared" si="3"/>
        <v>64400000</v>
      </c>
    </row>
    <row r="65" spans="1:8" x14ac:dyDescent="0.35">
      <c r="A65" s="11">
        <v>5</v>
      </c>
      <c r="B65" s="11" t="s">
        <v>26</v>
      </c>
      <c r="C65" s="11" t="s">
        <v>30</v>
      </c>
      <c r="D65" s="11">
        <f>Dau_vao!$C$13</f>
        <v>1</v>
      </c>
      <c r="E65" s="12">
        <f>Dau_vao!$D$13</f>
        <v>6370000</v>
      </c>
      <c r="F65" s="12">
        <f>Dau_vao!$E$13</f>
        <v>2730000</v>
      </c>
      <c r="G65" s="12">
        <f t="shared" si="2"/>
        <v>9100000</v>
      </c>
      <c r="H65" s="12">
        <f t="shared" si="3"/>
        <v>64400000</v>
      </c>
    </row>
    <row r="66" spans="1:8" x14ac:dyDescent="0.35">
      <c r="A66" s="11">
        <v>5</v>
      </c>
      <c r="B66" s="11" t="s">
        <v>31</v>
      </c>
      <c r="C66" s="11" t="s">
        <v>32</v>
      </c>
      <c r="D66" s="11">
        <f>Dau_vao!$C$14</f>
        <v>1</v>
      </c>
      <c r="E66" s="12">
        <f>Dau_vao!$D$14</f>
        <v>9800000</v>
      </c>
      <c r="F66" s="12">
        <f>Dau_vao!$E$14</f>
        <v>4200000</v>
      </c>
      <c r="G66" s="12">
        <f t="shared" ref="G66:G97" si="4">D66*(E66+F66)</f>
        <v>14000000</v>
      </c>
      <c r="H66" s="12">
        <f t="shared" ref="H66:H97" si="5">SUMIFS(G:G, A:A, A66, B:B, B66)</f>
        <v>100800000</v>
      </c>
    </row>
    <row r="67" spans="1:8" x14ac:dyDescent="0.35">
      <c r="A67" s="11">
        <v>5</v>
      </c>
      <c r="B67" s="11" t="s">
        <v>31</v>
      </c>
      <c r="C67" s="11" t="s">
        <v>33</v>
      </c>
      <c r="D67" s="11">
        <f>Dau_vao!$C$15</f>
        <v>2</v>
      </c>
      <c r="E67" s="12">
        <f>Dau_vao!$D$15</f>
        <v>5880000</v>
      </c>
      <c r="F67" s="12">
        <f>Dau_vao!$E$15</f>
        <v>2520000</v>
      </c>
      <c r="G67" s="12">
        <f t="shared" si="4"/>
        <v>16800000</v>
      </c>
      <c r="H67" s="12">
        <f t="shared" si="5"/>
        <v>100800000</v>
      </c>
    </row>
    <row r="68" spans="1:8" x14ac:dyDescent="0.35">
      <c r="A68" s="11">
        <v>5</v>
      </c>
      <c r="B68" s="11" t="s">
        <v>31</v>
      </c>
      <c r="C68" s="11" t="s">
        <v>34</v>
      </c>
      <c r="D68" s="11">
        <f>Dau_vao!$C$16 + (5 * Assumptions!$B$6)</f>
        <v>10</v>
      </c>
      <c r="E68" s="12">
        <f>Dau_vao!$D$16</f>
        <v>4900000</v>
      </c>
      <c r="F68" s="12">
        <f>Dau_vao!$E$16</f>
        <v>2100000</v>
      </c>
      <c r="G68" s="12">
        <f t="shared" si="4"/>
        <v>70000000</v>
      </c>
      <c r="H68" s="12">
        <f t="shared" si="5"/>
        <v>100800000</v>
      </c>
    </row>
    <row r="69" spans="1:8" x14ac:dyDescent="0.35">
      <c r="A69" s="11">
        <v>5</v>
      </c>
      <c r="B69" s="11" t="s">
        <v>35</v>
      </c>
      <c r="C69" s="11" t="s">
        <v>35</v>
      </c>
      <c r="D69" s="11">
        <f>Dau_vao!$C$17</f>
        <v>1</v>
      </c>
      <c r="E69" s="12">
        <f>Dau_vao!$D$17</f>
        <v>7349999.9999999991</v>
      </c>
      <c r="F69" s="12">
        <f>Dau_vao!$E$17</f>
        <v>3150000</v>
      </c>
      <c r="G69" s="12">
        <f t="shared" si="4"/>
        <v>10500000</v>
      </c>
      <c r="H69" s="12">
        <f t="shared" si="5"/>
        <v>10500000</v>
      </c>
    </row>
    <row r="70" spans="1:8" x14ac:dyDescent="0.35">
      <c r="A70" s="11">
        <v>5</v>
      </c>
      <c r="B70" s="11" t="s">
        <v>36</v>
      </c>
      <c r="C70" s="11" t="s">
        <v>37</v>
      </c>
      <c r="D70" s="11">
        <f>Dau_vao!$C$18</f>
        <v>1</v>
      </c>
      <c r="E70" s="12">
        <f>Dau_vao!$D$18</f>
        <v>9800000</v>
      </c>
      <c r="F70" s="12">
        <f>Dau_vao!$E$18</f>
        <v>4200000</v>
      </c>
      <c r="G70" s="12">
        <f t="shared" si="4"/>
        <v>14000000</v>
      </c>
      <c r="H70" s="12">
        <f t="shared" si="5"/>
        <v>62300000</v>
      </c>
    </row>
    <row r="71" spans="1:8" x14ac:dyDescent="0.35">
      <c r="A71" s="11">
        <v>5</v>
      </c>
      <c r="B71" s="11" t="s">
        <v>36</v>
      </c>
      <c r="C71" s="11" t="s">
        <v>38</v>
      </c>
      <c r="D71" s="11">
        <f>Dau_vao!$C$19</f>
        <v>2</v>
      </c>
      <c r="E71" s="12">
        <f>Dau_vao!$D$19</f>
        <v>10780000</v>
      </c>
      <c r="F71" s="12">
        <f>Dau_vao!$E$19</f>
        <v>4620000</v>
      </c>
      <c r="G71" s="12">
        <f t="shared" si="4"/>
        <v>30800000</v>
      </c>
      <c r="H71" s="12">
        <f t="shared" si="5"/>
        <v>62300000</v>
      </c>
    </row>
    <row r="72" spans="1:8" x14ac:dyDescent="0.35">
      <c r="A72" s="11">
        <v>5</v>
      </c>
      <c r="B72" s="11" t="s">
        <v>36</v>
      </c>
      <c r="C72" s="11" t="s">
        <v>39</v>
      </c>
      <c r="D72" s="11">
        <f>Dau_vao!$C$20</f>
        <v>1</v>
      </c>
      <c r="E72" s="12">
        <f>Dau_vao!$D$20</f>
        <v>12250000</v>
      </c>
      <c r="F72" s="12">
        <f>Dau_vao!$E$20</f>
        <v>5250000</v>
      </c>
      <c r="G72" s="12">
        <f t="shared" si="4"/>
        <v>17500000</v>
      </c>
      <c r="H72" s="12">
        <f t="shared" si="5"/>
        <v>62300000</v>
      </c>
    </row>
    <row r="73" spans="1:8" x14ac:dyDescent="0.35">
      <c r="A73" s="11">
        <v>5</v>
      </c>
      <c r="B73" s="11" t="s">
        <v>40</v>
      </c>
      <c r="C73" s="11" t="s">
        <v>41</v>
      </c>
      <c r="D73" s="11">
        <f>Dau_vao!$C$21</f>
        <v>1</v>
      </c>
      <c r="E73" s="12">
        <f>Dau_vao!$D$21</f>
        <v>10780000</v>
      </c>
      <c r="F73" s="12">
        <f>Dau_vao!$E$21</f>
        <v>4620000</v>
      </c>
      <c r="G73" s="12">
        <f t="shared" si="4"/>
        <v>15400000</v>
      </c>
      <c r="H73" s="12">
        <f t="shared" si="5"/>
        <v>56700000</v>
      </c>
    </row>
    <row r="74" spans="1:8" x14ac:dyDescent="0.35">
      <c r="A74" s="11">
        <v>5</v>
      </c>
      <c r="B74" s="11" t="s">
        <v>40</v>
      </c>
      <c r="C74" s="11" t="s">
        <v>42</v>
      </c>
      <c r="D74" s="11">
        <f>Dau_vao!$C$22</f>
        <v>2</v>
      </c>
      <c r="E74" s="12">
        <f>Dau_vao!$D$22</f>
        <v>5880000</v>
      </c>
      <c r="F74" s="12">
        <f>Dau_vao!$E$22</f>
        <v>2520000</v>
      </c>
      <c r="G74" s="12">
        <f t="shared" si="4"/>
        <v>16800000</v>
      </c>
      <c r="H74" s="12">
        <f t="shared" si="5"/>
        <v>56700000</v>
      </c>
    </row>
    <row r="75" spans="1:8" x14ac:dyDescent="0.35">
      <c r="A75" s="11">
        <v>5</v>
      </c>
      <c r="B75" s="11" t="s">
        <v>40</v>
      </c>
      <c r="C75" s="11" t="s">
        <v>43</v>
      </c>
      <c r="D75" s="11">
        <f>Dau_vao!$C$23</f>
        <v>1</v>
      </c>
      <c r="E75" s="12">
        <f>Dau_vao!$D$23</f>
        <v>7349999.9999999991</v>
      </c>
      <c r="F75" s="12">
        <f>Dau_vao!$E$23</f>
        <v>3150000</v>
      </c>
      <c r="G75" s="12">
        <f t="shared" si="4"/>
        <v>10500000</v>
      </c>
      <c r="H75" s="12">
        <f t="shared" si="5"/>
        <v>56700000</v>
      </c>
    </row>
    <row r="76" spans="1:8" x14ac:dyDescent="0.35">
      <c r="A76" s="11">
        <v>5</v>
      </c>
      <c r="B76" s="11" t="s">
        <v>40</v>
      </c>
      <c r="C76" s="11" t="s">
        <v>44</v>
      </c>
      <c r="D76" s="11">
        <f>Dau_vao!$C$24</f>
        <v>2</v>
      </c>
      <c r="E76" s="12">
        <f>Dau_vao!$D$24</f>
        <v>4900000</v>
      </c>
      <c r="F76" s="12">
        <f>Dau_vao!$E$24</f>
        <v>2100000</v>
      </c>
      <c r="G76" s="12">
        <f t="shared" si="4"/>
        <v>14000000</v>
      </c>
      <c r="H76" s="12">
        <f t="shared" si="5"/>
        <v>56700000</v>
      </c>
    </row>
    <row r="77" spans="1:8" x14ac:dyDescent="0.35">
      <c r="A77" s="2">
        <v>6</v>
      </c>
      <c r="B77" s="2" t="s">
        <v>26</v>
      </c>
      <c r="C77" s="2" t="s">
        <v>27</v>
      </c>
      <c r="D77" s="9">
        <f>Dau_vao!$C$10</f>
        <v>1</v>
      </c>
      <c r="E77" s="3">
        <f>Dau_vao!$D$10</f>
        <v>12250000</v>
      </c>
      <c r="F77" s="3">
        <f>Dau_vao!$E$10</f>
        <v>5250000</v>
      </c>
      <c r="G77" s="3">
        <f t="shared" si="4"/>
        <v>17500000</v>
      </c>
      <c r="H77" s="3">
        <f t="shared" si="5"/>
        <v>64400000</v>
      </c>
    </row>
    <row r="78" spans="1:8" x14ac:dyDescent="0.35">
      <c r="A78" s="2">
        <v>6</v>
      </c>
      <c r="B78" s="2" t="s">
        <v>26</v>
      </c>
      <c r="C78" s="2" t="s">
        <v>28</v>
      </c>
      <c r="D78" s="9">
        <f>Dau_vao!$C$11</f>
        <v>2</v>
      </c>
      <c r="E78" s="3">
        <f>Dau_vao!$D$11</f>
        <v>7349999.9999999991</v>
      </c>
      <c r="F78" s="3">
        <f>Dau_vao!$E$11</f>
        <v>3150000</v>
      </c>
      <c r="G78" s="3">
        <f t="shared" si="4"/>
        <v>21000000</v>
      </c>
      <c r="H78" s="3">
        <f t="shared" si="5"/>
        <v>64400000</v>
      </c>
    </row>
    <row r="79" spans="1:8" x14ac:dyDescent="0.35">
      <c r="A79" s="2">
        <v>6</v>
      </c>
      <c r="B79" s="2" t="s">
        <v>26</v>
      </c>
      <c r="C79" s="2" t="s">
        <v>29</v>
      </c>
      <c r="D79" s="9">
        <f>Dau_vao!$C$12</f>
        <v>2</v>
      </c>
      <c r="E79" s="3">
        <f>Dau_vao!$D$12</f>
        <v>5880000</v>
      </c>
      <c r="F79" s="3">
        <f>Dau_vao!$E$12</f>
        <v>2520000</v>
      </c>
      <c r="G79" s="3">
        <f t="shared" si="4"/>
        <v>16800000</v>
      </c>
      <c r="H79" s="3">
        <f t="shared" si="5"/>
        <v>64400000</v>
      </c>
    </row>
    <row r="80" spans="1:8" x14ac:dyDescent="0.35">
      <c r="A80" s="2">
        <v>6</v>
      </c>
      <c r="B80" s="2" t="s">
        <v>26</v>
      </c>
      <c r="C80" s="2" t="s">
        <v>30</v>
      </c>
      <c r="D80" s="9">
        <f>Dau_vao!$C$13</f>
        <v>1</v>
      </c>
      <c r="E80" s="3">
        <f>Dau_vao!$D$13</f>
        <v>6370000</v>
      </c>
      <c r="F80" s="3">
        <f>Dau_vao!$E$13</f>
        <v>2730000</v>
      </c>
      <c r="G80" s="3">
        <f t="shared" si="4"/>
        <v>9100000</v>
      </c>
      <c r="H80" s="3">
        <f t="shared" si="5"/>
        <v>64400000</v>
      </c>
    </row>
    <row r="81" spans="1:8" x14ac:dyDescent="0.35">
      <c r="A81" s="2">
        <v>6</v>
      </c>
      <c r="B81" s="2" t="s">
        <v>31</v>
      </c>
      <c r="C81" s="2" t="s">
        <v>32</v>
      </c>
      <c r="D81" s="9">
        <f>Dau_vao!$C$14</f>
        <v>1</v>
      </c>
      <c r="E81" s="3">
        <f>Dau_vao!$D$14</f>
        <v>9800000</v>
      </c>
      <c r="F81" s="3">
        <f>Dau_vao!$E$14</f>
        <v>4200000</v>
      </c>
      <c r="G81" s="3">
        <f t="shared" si="4"/>
        <v>14000000</v>
      </c>
      <c r="H81" s="3">
        <f t="shared" si="5"/>
        <v>107800000</v>
      </c>
    </row>
    <row r="82" spans="1:8" x14ac:dyDescent="0.35">
      <c r="A82" s="2">
        <v>6</v>
      </c>
      <c r="B82" s="2" t="s">
        <v>31</v>
      </c>
      <c r="C82" s="2" t="s">
        <v>33</v>
      </c>
      <c r="D82" s="9">
        <f>Dau_vao!$C$15</f>
        <v>2</v>
      </c>
      <c r="E82" s="3">
        <f>Dau_vao!$D$15</f>
        <v>5880000</v>
      </c>
      <c r="F82" s="3">
        <f>Dau_vao!$E$15</f>
        <v>2520000</v>
      </c>
      <c r="G82" s="3">
        <f t="shared" si="4"/>
        <v>16800000</v>
      </c>
      <c r="H82" s="3">
        <f t="shared" si="5"/>
        <v>107800000</v>
      </c>
    </row>
    <row r="83" spans="1:8" x14ac:dyDescent="0.35">
      <c r="A83" s="2">
        <v>6</v>
      </c>
      <c r="B83" s="2" t="s">
        <v>31</v>
      </c>
      <c r="C83" s="2" t="s">
        <v>34</v>
      </c>
      <c r="D83" s="9">
        <f>Dau_vao!$C$16 + (6 * Assumptions!$B$6)</f>
        <v>11</v>
      </c>
      <c r="E83" s="3">
        <f>Dau_vao!$D$16</f>
        <v>4900000</v>
      </c>
      <c r="F83" s="3">
        <f>Dau_vao!$E$16</f>
        <v>2100000</v>
      </c>
      <c r="G83" s="3">
        <f t="shared" si="4"/>
        <v>77000000</v>
      </c>
      <c r="H83" s="3">
        <f t="shared" si="5"/>
        <v>107800000</v>
      </c>
    </row>
    <row r="84" spans="1:8" x14ac:dyDescent="0.35">
      <c r="A84" s="2">
        <v>6</v>
      </c>
      <c r="B84" s="2" t="s">
        <v>35</v>
      </c>
      <c r="C84" s="2" t="s">
        <v>35</v>
      </c>
      <c r="D84" s="9">
        <f>Dau_vao!$C$17</f>
        <v>1</v>
      </c>
      <c r="E84" s="3">
        <f>Dau_vao!$D$17</f>
        <v>7349999.9999999991</v>
      </c>
      <c r="F84" s="3">
        <f>Dau_vao!$E$17</f>
        <v>3150000</v>
      </c>
      <c r="G84" s="3">
        <f t="shared" si="4"/>
        <v>10500000</v>
      </c>
      <c r="H84" s="3">
        <f t="shared" si="5"/>
        <v>10500000</v>
      </c>
    </row>
    <row r="85" spans="1:8" x14ac:dyDescent="0.35">
      <c r="A85" s="2">
        <v>6</v>
      </c>
      <c r="B85" s="2" t="s">
        <v>36</v>
      </c>
      <c r="C85" s="2" t="s">
        <v>37</v>
      </c>
      <c r="D85" s="9">
        <f>Dau_vao!$C$18</f>
        <v>1</v>
      </c>
      <c r="E85" s="3">
        <f>Dau_vao!$D$18</f>
        <v>9800000</v>
      </c>
      <c r="F85" s="3">
        <f>Dau_vao!$E$18</f>
        <v>4200000</v>
      </c>
      <c r="G85" s="3">
        <f t="shared" si="4"/>
        <v>14000000</v>
      </c>
      <c r="H85" s="3">
        <f t="shared" si="5"/>
        <v>62300000</v>
      </c>
    </row>
    <row r="86" spans="1:8" x14ac:dyDescent="0.35">
      <c r="A86" s="2">
        <v>6</v>
      </c>
      <c r="B86" s="2" t="s">
        <v>36</v>
      </c>
      <c r="C86" s="2" t="s">
        <v>38</v>
      </c>
      <c r="D86" s="9">
        <f>Dau_vao!$C$19</f>
        <v>2</v>
      </c>
      <c r="E86" s="3">
        <f>Dau_vao!$D$19</f>
        <v>10780000</v>
      </c>
      <c r="F86" s="3">
        <f>Dau_vao!$E$19</f>
        <v>4620000</v>
      </c>
      <c r="G86" s="3">
        <f t="shared" si="4"/>
        <v>30800000</v>
      </c>
      <c r="H86" s="3">
        <f t="shared" si="5"/>
        <v>62300000</v>
      </c>
    </row>
    <row r="87" spans="1:8" x14ac:dyDescent="0.35">
      <c r="A87" s="2">
        <v>6</v>
      </c>
      <c r="B87" s="2" t="s">
        <v>36</v>
      </c>
      <c r="C87" s="2" t="s">
        <v>39</v>
      </c>
      <c r="D87" s="9">
        <f>Dau_vao!$C$20</f>
        <v>1</v>
      </c>
      <c r="E87" s="3">
        <f>Dau_vao!$D$20</f>
        <v>12250000</v>
      </c>
      <c r="F87" s="3">
        <f>Dau_vao!$E$20</f>
        <v>5250000</v>
      </c>
      <c r="G87" s="3">
        <f t="shared" si="4"/>
        <v>17500000</v>
      </c>
      <c r="H87" s="3">
        <f t="shared" si="5"/>
        <v>62300000</v>
      </c>
    </row>
    <row r="88" spans="1:8" x14ac:dyDescent="0.35">
      <c r="A88" s="2">
        <v>6</v>
      </c>
      <c r="B88" s="2" t="s">
        <v>40</v>
      </c>
      <c r="C88" s="2" t="s">
        <v>41</v>
      </c>
      <c r="D88" s="9">
        <f>Dau_vao!$C$21</f>
        <v>1</v>
      </c>
      <c r="E88" s="3">
        <f>Dau_vao!$D$21</f>
        <v>10780000</v>
      </c>
      <c r="F88" s="3">
        <f>Dau_vao!$E$21</f>
        <v>4620000</v>
      </c>
      <c r="G88" s="3">
        <f t="shared" si="4"/>
        <v>15400000</v>
      </c>
      <c r="H88" s="3">
        <f t="shared" si="5"/>
        <v>56700000</v>
      </c>
    </row>
    <row r="89" spans="1:8" x14ac:dyDescent="0.35">
      <c r="A89" s="2">
        <v>6</v>
      </c>
      <c r="B89" s="2" t="s">
        <v>40</v>
      </c>
      <c r="C89" s="2" t="s">
        <v>42</v>
      </c>
      <c r="D89" s="9">
        <f>Dau_vao!$C$22</f>
        <v>2</v>
      </c>
      <c r="E89" s="3">
        <f>Dau_vao!$D$22</f>
        <v>5880000</v>
      </c>
      <c r="F89" s="3">
        <f>Dau_vao!$E$22</f>
        <v>2520000</v>
      </c>
      <c r="G89" s="3">
        <f t="shared" si="4"/>
        <v>16800000</v>
      </c>
      <c r="H89" s="3">
        <f t="shared" si="5"/>
        <v>56700000</v>
      </c>
    </row>
    <row r="90" spans="1:8" x14ac:dyDescent="0.35">
      <c r="A90" s="2">
        <v>6</v>
      </c>
      <c r="B90" s="2" t="s">
        <v>40</v>
      </c>
      <c r="C90" s="2" t="s">
        <v>43</v>
      </c>
      <c r="D90" s="9">
        <f>Dau_vao!$C$23</f>
        <v>1</v>
      </c>
      <c r="E90" s="3">
        <f>Dau_vao!$D$23</f>
        <v>7349999.9999999991</v>
      </c>
      <c r="F90" s="3">
        <f>Dau_vao!$E$23</f>
        <v>3150000</v>
      </c>
      <c r="G90" s="3">
        <f t="shared" si="4"/>
        <v>10500000</v>
      </c>
      <c r="H90" s="3">
        <f t="shared" si="5"/>
        <v>56700000</v>
      </c>
    </row>
    <row r="91" spans="1:8" x14ac:dyDescent="0.35">
      <c r="A91" s="2">
        <v>6</v>
      </c>
      <c r="B91" s="2" t="s">
        <v>40</v>
      </c>
      <c r="C91" s="2" t="s">
        <v>44</v>
      </c>
      <c r="D91" s="9">
        <f>Dau_vao!$C$24</f>
        <v>2</v>
      </c>
      <c r="E91" s="3">
        <f>Dau_vao!$D$24</f>
        <v>4900000</v>
      </c>
      <c r="F91" s="3">
        <f>Dau_vao!$E$24</f>
        <v>2100000</v>
      </c>
      <c r="G91" s="3">
        <f t="shared" si="4"/>
        <v>14000000</v>
      </c>
      <c r="H91" s="3">
        <f t="shared" si="5"/>
        <v>56700000</v>
      </c>
    </row>
    <row r="92" spans="1:8" x14ac:dyDescent="0.35">
      <c r="A92" s="11">
        <v>7</v>
      </c>
      <c r="B92" s="11" t="s">
        <v>26</v>
      </c>
      <c r="C92" s="11" t="s">
        <v>27</v>
      </c>
      <c r="D92" s="11">
        <f>Dau_vao!$C$10</f>
        <v>1</v>
      </c>
      <c r="E92" s="12">
        <f>Dau_vao!$D$10</f>
        <v>12250000</v>
      </c>
      <c r="F92" s="12">
        <f>Dau_vao!$E$10</f>
        <v>5250000</v>
      </c>
      <c r="G92" s="12">
        <f t="shared" si="4"/>
        <v>17500000</v>
      </c>
      <c r="H92" s="12">
        <f t="shared" si="5"/>
        <v>64400000</v>
      </c>
    </row>
    <row r="93" spans="1:8" x14ac:dyDescent="0.35">
      <c r="A93" s="11">
        <v>7</v>
      </c>
      <c r="B93" s="11" t="s">
        <v>26</v>
      </c>
      <c r="C93" s="11" t="s">
        <v>28</v>
      </c>
      <c r="D93" s="11">
        <f>Dau_vao!$C$11</f>
        <v>2</v>
      </c>
      <c r="E93" s="12">
        <f>Dau_vao!$D$11</f>
        <v>7349999.9999999991</v>
      </c>
      <c r="F93" s="12">
        <f>Dau_vao!$E$11</f>
        <v>3150000</v>
      </c>
      <c r="G93" s="12">
        <f t="shared" si="4"/>
        <v>21000000</v>
      </c>
      <c r="H93" s="12">
        <f t="shared" si="5"/>
        <v>64400000</v>
      </c>
    </row>
    <row r="94" spans="1:8" x14ac:dyDescent="0.35">
      <c r="A94" s="11">
        <v>7</v>
      </c>
      <c r="B94" s="11" t="s">
        <v>26</v>
      </c>
      <c r="C94" s="11" t="s">
        <v>29</v>
      </c>
      <c r="D94" s="11">
        <f>Dau_vao!$C$12</f>
        <v>2</v>
      </c>
      <c r="E94" s="12">
        <f>Dau_vao!$D$12</f>
        <v>5880000</v>
      </c>
      <c r="F94" s="12">
        <f>Dau_vao!$E$12</f>
        <v>2520000</v>
      </c>
      <c r="G94" s="12">
        <f t="shared" si="4"/>
        <v>16800000</v>
      </c>
      <c r="H94" s="12">
        <f t="shared" si="5"/>
        <v>64400000</v>
      </c>
    </row>
    <row r="95" spans="1:8" x14ac:dyDescent="0.35">
      <c r="A95" s="11">
        <v>7</v>
      </c>
      <c r="B95" s="11" t="s">
        <v>26</v>
      </c>
      <c r="C95" s="11" t="s">
        <v>30</v>
      </c>
      <c r="D95" s="11">
        <f>Dau_vao!$C$13</f>
        <v>1</v>
      </c>
      <c r="E95" s="12">
        <f>Dau_vao!$D$13</f>
        <v>6370000</v>
      </c>
      <c r="F95" s="12">
        <f>Dau_vao!$E$13</f>
        <v>2730000</v>
      </c>
      <c r="G95" s="12">
        <f t="shared" si="4"/>
        <v>9100000</v>
      </c>
      <c r="H95" s="12">
        <f t="shared" si="5"/>
        <v>64400000</v>
      </c>
    </row>
    <row r="96" spans="1:8" x14ac:dyDescent="0.35">
      <c r="A96" s="11">
        <v>7</v>
      </c>
      <c r="B96" s="11" t="s">
        <v>31</v>
      </c>
      <c r="C96" s="11" t="s">
        <v>32</v>
      </c>
      <c r="D96" s="11">
        <f>Dau_vao!$C$14</f>
        <v>1</v>
      </c>
      <c r="E96" s="12">
        <f>Dau_vao!$D$14</f>
        <v>9800000</v>
      </c>
      <c r="F96" s="12">
        <f>Dau_vao!$E$14</f>
        <v>4200000</v>
      </c>
      <c r="G96" s="12">
        <f t="shared" si="4"/>
        <v>14000000</v>
      </c>
      <c r="H96" s="12">
        <f t="shared" si="5"/>
        <v>114800000</v>
      </c>
    </row>
    <row r="97" spans="1:8" x14ac:dyDescent="0.35">
      <c r="A97" s="11">
        <v>7</v>
      </c>
      <c r="B97" s="11" t="s">
        <v>31</v>
      </c>
      <c r="C97" s="11" t="s">
        <v>33</v>
      </c>
      <c r="D97" s="11">
        <f>Dau_vao!$C$15</f>
        <v>2</v>
      </c>
      <c r="E97" s="12">
        <f>Dau_vao!$D$15</f>
        <v>5880000</v>
      </c>
      <c r="F97" s="12">
        <f>Dau_vao!$E$15</f>
        <v>2520000</v>
      </c>
      <c r="G97" s="12">
        <f t="shared" si="4"/>
        <v>16800000</v>
      </c>
      <c r="H97" s="12">
        <f t="shared" si="5"/>
        <v>114800000</v>
      </c>
    </row>
    <row r="98" spans="1:8" x14ac:dyDescent="0.35">
      <c r="A98" s="11">
        <v>7</v>
      </c>
      <c r="B98" s="11" t="s">
        <v>31</v>
      </c>
      <c r="C98" s="11" t="s">
        <v>34</v>
      </c>
      <c r="D98" s="11">
        <f>Dau_vao!$C$16 + (7 * Assumptions!$B$6)</f>
        <v>12</v>
      </c>
      <c r="E98" s="12">
        <f>Dau_vao!$D$16</f>
        <v>4900000</v>
      </c>
      <c r="F98" s="12">
        <f>Dau_vao!$E$16</f>
        <v>2100000</v>
      </c>
      <c r="G98" s="12">
        <f t="shared" ref="G98:G129" si="6">D98*(E98+F98)</f>
        <v>84000000</v>
      </c>
      <c r="H98" s="12">
        <f t="shared" ref="H98:H129" si="7">SUMIFS(G:G, A:A, A98, B:B, B98)</f>
        <v>114800000</v>
      </c>
    </row>
    <row r="99" spans="1:8" x14ac:dyDescent="0.35">
      <c r="A99" s="11">
        <v>7</v>
      </c>
      <c r="B99" s="11" t="s">
        <v>35</v>
      </c>
      <c r="C99" s="11" t="s">
        <v>35</v>
      </c>
      <c r="D99" s="11">
        <f>Dau_vao!$C$17</f>
        <v>1</v>
      </c>
      <c r="E99" s="12">
        <f>Dau_vao!$D$17</f>
        <v>7349999.9999999991</v>
      </c>
      <c r="F99" s="12">
        <f>Dau_vao!$E$17</f>
        <v>3150000</v>
      </c>
      <c r="G99" s="12">
        <f t="shared" si="6"/>
        <v>10500000</v>
      </c>
      <c r="H99" s="12">
        <f t="shared" si="7"/>
        <v>10500000</v>
      </c>
    </row>
    <row r="100" spans="1:8" x14ac:dyDescent="0.35">
      <c r="A100" s="11">
        <v>7</v>
      </c>
      <c r="B100" s="11" t="s">
        <v>36</v>
      </c>
      <c r="C100" s="11" t="s">
        <v>37</v>
      </c>
      <c r="D100" s="11">
        <f>Dau_vao!$C$18</f>
        <v>1</v>
      </c>
      <c r="E100" s="12">
        <f>Dau_vao!$D$18</f>
        <v>9800000</v>
      </c>
      <c r="F100" s="12">
        <f>Dau_vao!$E$18</f>
        <v>4200000</v>
      </c>
      <c r="G100" s="12">
        <f t="shared" si="6"/>
        <v>14000000</v>
      </c>
      <c r="H100" s="12">
        <f t="shared" si="7"/>
        <v>62300000</v>
      </c>
    </row>
    <row r="101" spans="1:8" x14ac:dyDescent="0.35">
      <c r="A101" s="11">
        <v>7</v>
      </c>
      <c r="B101" s="11" t="s">
        <v>36</v>
      </c>
      <c r="C101" s="11" t="s">
        <v>38</v>
      </c>
      <c r="D101" s="11">
        <f>Dau_vao!$C$19</f>
        <v>2</v>
      </c>
      <c r="E101" s="12">
        <f>Dau_vao!$D$19</f>
        <v>10780000</v>
      </c>
      <c r="F101" s="12">
        <f>Dau_vao!$E$19</f>
        <v>4620000</v>
      </c>
      <c r="G101" s="12">
        <f t="shared" si="6"/>
        <v>30800000</v>
      </c>
      <c r="H101" s="12">
        <f t="shared" si="7"/>
        <v>62300000</v>
      </c>
    </row>
    <row r="102" spans="1:8" x14ac:dyDescent="0.35">
      <c r="A102" s="11">
        <v>7</v>
      </c>
      <c r="B102" s="11" t="s">
        <v>36</v>
      </c>
      <c r="C102" s="11" t="s">
        <v>39</v>
      </c>
      <c r="D102" s="11">
        <f>Dau_vao!$C$20</f>
        <v>1</v>
      </c>
      <c r="E102" s="12">
        <f>Dau_vao!$D$20</f>
        <v>12250000</v>
      </c>
      <c r="F102" s="12">
        <f>Dau_vao!$E$20</f>
        <v>5250000</v>
      </c>
      <c r="G102" s="12">
        <f t="shared" si="6"/>
        <v>17500000</v>
      </c>
      <c r="H102" s="12">
        <f t="shared" si="7"/>
        <v>62300000</v>
      </c>
    </row>
    <row r="103" spans="1:8" x14ac:dyDescent="0.35">
      <c r="A103" s="11">
        <v>7</v>
      </c>
      <c r="B103" s="11" t="s">
        <v>40</v>
      </c>
      <c r="C103" s="11" t="s">
        <v>41</v>
      </c>
      <c r="D103" s="11">
        <f>Dau_vao!$C$21</f>
        <v>1</v>
      </c>
      <c r="E103" s="12">
        <f>Dau_vao!$D$21</f>
        <v>10780000</v>
      </c>
      <c r="F103" s="12">
        <f>Dau_vao!$E$21</f>
        <v>4620000</v>
      </c>
      <c r="G103" s="12">
        <f t="shared" si="6"/>
        <v>15400000</v>
      </c>
      <c r="H103" s="12">
        <f t="shared" si="7"/>
        <v>56700000</v>
      </c>
    </row>
    <row r="104" spans="1:8" x14ac:dyDescent="0.35">
      <c r="A104" s="11">
        <v>7</v>
      </c>
      <c r="B104" s="11" t="s">
        <v>40</v>
      </c>
      <c r="C104" s="11" t="s">
        <v>42</v>
      </c>
      <c r="D104" s="11">
        <f>Dau_vao!$C$22</f>
        <v>2</v>
      </c>
      <c r="E104" s="12">
        <f>Dau_vao!$D$22</f>
        <v>5880000</v>
      </c>
      <c r="F104" s="12">
        <f>Dau_vao!$E$22</f>
        <v>2520000</v>
      </c>
      <c r="G104" s="12">
        <f t="shared" si="6"/>
        <v>16800000</v>
      </c>
      <c r="H104" s="12">
        <f t="shared" si="7"/>
        <v>56700000</v>
      </c>
    </row>
    <row r="105" spans="1:8" x14ac:dyDescent="0.35">
      <c r="A105" s="11">
        <v>7</v>
      </c>
      <c r="B105" s="11" t="s">
        <v>40</v>
      </c>
      <c r="C105" s="11" t="s">
        <v>43</v>
      </c>
      <c r="D105" s="11">
        <f>Dau_vao!$C$23</f>
        <v>1</v>
      </c>
      <c r="E105" s="12">
        <f>Dau_vao!$D$23</f>
        <v>7349999.9999999991</v>
      </c>
      <c r="F105" s="12">
        <f>Dau_vao!$E$23</f>
        <v>3150000</v>
      </c>
      <c r="G105" s="12">
        <f t="shared" si="6"/>
        <v>10500000</v>
      </c>
      <c r="H105" s="12">
        <f t="shared" si="7"/>
        <v>56700000</v>
      </c>
    </row>
    <row r="106" spans="1:8" x14ac:dyDescent="0.35">
      <c r="A106" s="11">
        <v>7</v>
      </c>
      <c r="B106" s="11" t="s">
        <v>40</v>
      </c>
      <c r="C106" s="11" t="s">
        <v>44</v>
      </c>
      <c r="D106" s="11">
        <f>Dau_vao!$C$24</f>
        <v>2</v>
      </c>
      <c r="E106" s="12">
        <f>Dau_vao!$D$24</f>
        <v>4900000</v>
      </c>
      <c r="F106" s="12">
        <f>Dau_vao!$E$24</f>
        <v>2100000</v>
      </c>
      <c r="G106" s="12">
        <f t="shared" si="6"/>
        <v>14000000</v>
      </c>
      <c r="H106" s="12">
        <f t="shared" si="7"/>
        <v>56700000</v>
      </c>
    </row>
    <row r="107" spans="1:8" x14ac:dyDescent="0.35">
      <c r="A107" s="2">
        <v>8</v>
      </c>
      <c r="B107" s="2" t="s">
        <v>26</v>
      </c>
      <c r="C107" s="2" t="s">
        <v>27</v>
      </c>
      <c r="D107" s="9">
        <f>Dau_vao!$C$10</f>
        <v>1</v>
      </c>
      <c r="E107" s="3">
        <f>Dau_vao!$D$10</f>
        <v>12250000</v>
      </c>
      <c r="F107" s="3">
        <f>Dau_vao!$E$10</f>
        <v>5250000</v>
      </c>
      <c r="G107" s="3">
        <f t="shared" si="6"/>
        <v>17500000</v>
      </c>
      <c r="H107" s="3">
        <f t="shared" si="7"/>
        <v>64400000</v>
      </c>
    </row>
    <row r="108" spans="1:8" x14ac:dyDescent="0.35">
      <c r="A108" s="2">
        <v>8</v>
      </c>
      <c r="B108" s="2" t="s">
        <v>26</v>
      </c>
      <c r="C108" s="2" t="s">
        <v>28</v>
      </c>
      <c r="D108" s="9">
        <f>Dau_vao!$C$11</f>
        <v>2</v>
      </c>
      <c r="E108" s="3">
        <f>Dau_vao!$D$11</f>
        <v>7349999.9999999991</v>
      </c>
      <c r="F108" s="3">
        <f>Dau_vao!$E$11</f>
        <v>3150000</v>
      </c>
      <c r="G108" s="3">
        <f t="shared" si="6"/>
        <v>21000000</v>
      </c>
      <c r="H108" s="3">
        <f t="shared" si="7"/>
        <v>64400000</v>
      </c>
    </row>
    <row r="109" spans="1:8" x14ac:dyDescent="0.35">
      <c r="A109" s="2">
        <v>8</v>
      </c>
      <c r="B109" s="2" t="s">
        <v>26</v>
      </c>
      <c r="C109" s="2" t="s">
        <v>29</v>
      </c>
      <c r="D109" s="9">
        <f>Dau_vao!$C$12</f>
        <v>2</v>
      </c>
      <c r="E109" s="3">
        <f>Dau_vao!$D$12</f>
        <v>5880000</v>
      </c>
      <c r="F109" s="3">
        <f>Dau_vao!$E$12</f>
        <v>2520000</v>
      </c>
      <c r="G109" s="3">
        <f t="shared" si="6"/>
        <v>16800000</v>
      </c>
      <c r="H109" s="3">
        <f t="shared" si="7"/>
        <v>64400000</v>
      </c>
    </row>
    <row r="110" spans="1:8" x14ac:dyDescent="0.35">
      <c r="A110" s="2">
        <v>8</v>
      </c>
      <c r="B110" s="2" t="s">
        <v>26</v>
      </c>
      <c r="C110" s="2" t="s">
        <v>30</v>
      </c>
      <c r="D110" s="9">
        <f>Dau_vao!$C$13</f>
        <v>1</v>
      </c>
      <c r="E110" s="3">
        <f>Dau_vao!$D$13</f>
        <v>6370000</v>
      </c>
      <c r="F110" s="3">
        <f>Dau_vao!$E$13</f>
        <v>2730000</v>
      </c>
      <c r="G110" s="3">
        <f t="shared" si="6"/>
        <v>9100000</v>
      </c>
      <c r="H110" s="3">
        <f t="shared" si="7"/>
        <v>64400000</v>
      </c>
    </row>
    <row r="111" spans="1:8" x14ac:dyDescent="0.35">
      <c r="A111" s="2">
        <v>8</v>
      </c>
      <c r="B111" s="2" t="s">
        <v>31</v>
      </c>
      <c r="C111" s="2" t="s">
        <v>32</v>
      </c>
      <c r="D111" s="9">
        <f>Dau_vao!$C$14</f>
        <v>1</v>
      </c>
      <c r="E111" s="3">
        <f>Dau_vao!$D$14</f>
        <v>9800000</v>
      </c>
      <c r="F111" s="3">
        <f>Dau_vao!$E$14</f>
        <v>4200000</v>
      </c>
      <c r="G111" s="3">
        <f t="shared" si="6"/>
        <v>14000000</v>
      </c>
      <c r="H111" s="3">
        <f t="shared" si="7"/>
        <v>121800000</v>
      </c>
    </row>
    <row r="112" spans="1:8" x14ac:dyDescent="0.35">
      <c r="A112" s="2">
        <v>8</v>
      </c>
      <c r="B112" s="2" t="s">
        <v>31</v>
      </c>
      <c r="C112" s="2" t="s">
        <v>33</v>
      </c>
      <c r="D112" s="9">
        <f>Dau_vao!$C$15</f>
        <v>2</v>
      </c>
      <c r="E112" s="3">
        <f>Dau_vao!$D$15</f>
        <v>5880000</v>
      </c>
      <c r="F112" s="3">
        <f>Dau_vao!$E$15</f>
        <v>2520000</v>
      </c>
      <c r="G112" s="3">
        <f t="shared" si="6"/>
        <v>16800000</v>
      </c>
      <c r="H112" s="3">
        <f t="shared" si="7"/>
        <v>121800000</v>
      </c>
    </row>
    <row r="113" spans="1:8" x14ac:dyDescent="0.35">
      <c r="A113" s="2">
        <v>8</v>
      </c>
      <c r="B113" s="2" t="s">
        <v>31</v>
      </c>
      <c r="C113" s="2" t="s">
        <v>34</v>
      </c>
      <c r="D113" s="9">
        <f>Dau_vao!$C$16 + (8 * Assumptions!$B$6)</f>
        <v>13</v>
      </c>
      <c r="E113" s="3">
        <f>Dau_vao!$D$16</f>
        <v>4900000</v>
      </c>
      <c r="F113" s="3">
        <f>Dau_vao!$E$16</f>
        <v>2100000</v>
      </c>
      <c r="G113" s="3">
        <f t="shared" si="6"/>
        <v>91000000</v>
      </c>
      <c r="H113" s="3">
        <f t="shared" si="7"/>
        <v>121800000</v>
      </c>
    </row>
    <row r="114" spans="1:8" x14ac:dyDescent="0.35">
      <c r="A114" s="2">
        <v>8</v>
      </c>
      <c r="B114" s="2" t="s">
        <v>35</v>
      </c>
      <c r="C114" s="2" t="s">
        <v>35</v>
      </c>
      <c r="D114" s="9">
        <f>Dau_vao!$C$17</f>
        <v>1</v>
      </c>
      <c r="E114" s="3">
        <f>Dau_vao!$D$17</f>
        <v>7349999.9999999991</v>
      </c>
      <c r="F114" s="3">
        <f>Dau_vao!$E$17</f>
        <v>3150000</v>
      </c>
      <c r="G114" s="3">
        <f t="shared" si="6"/>
        <v>10500000</v>
      </c>
      <c r="H114" s="3">
        <f t="shared" si="7"/>
        <v>10500000</v>
      </c>
    </row>
    <row r="115" spans="1:8" x14ac:dyDescent="0.35">
      <c r="A115" s="2">
        <v>8</v>
      </c>
      <c r="B115" s="2" t="s">
        <v>36</v>
      </c>
      <c r="C115" s="2" t="s">
        <v>37</v>
      </c>
      <c r="D115" s="9">
        <f>Dau_vao!$C$18</f>
        <v>1</v>
      </c>
      <c r="E115" s="3">
        <f>Dau_vao!$D$18</f>
        <v>9800000</v>
      </c>
      <c r="F115" s="3">
        <f>Dau_vao!$E$18</f>
        <v>4200000</v>
      </c>
      <c r="G115" s="3">
        <f t="shared" si="6"/>
        <v>14000000</v>
      </c>
      <c r="H115" s="3">
        <f t="shared" si="7"/>
        <v>62300000</v>
      </c>
    </row>
    <row r="116" spans="1:8" x14ac:dyDescent="0.35">
      <c r="A116" s="2">
        <v>8</v>
      </c>
      <c r="B116" s="2" t="s">
        <v>36</v>
      </c>
      <c r="C116" s="2" t="s">
        <v>38</v>
      </c>
      <c r="D116" s="9">
        <f>Dau_vao!$C$19</f>
        <v>2</v>
      </c>
      <c r="E116" s="3">
        <f>Dau_vao!$D$19</f>
        <v>10780000</v>
      </c>
      <c r="F116" s="3">
        <f>Dau_vao!$E$19</f>
        <v>4620000</v>
      </c>
      <c r="G116" s="3">
        <f t="shared" si="6"/>
        <v>30800000</v>
      </c>
      <c r="H116" s="3">
        <f t="shared" si="7"/>
        <v>62300000</v>
      </c>
    </row>
    <row r="117" spans="1:8" x14ac:dyDescent="0.35">
      <c r="A117" s="2">
        <v>8</v>
      </c>
      <c r="B117" s="2" t="s">
        <v>36</v>
      </c>
      <c r="C117" s="2" t="s">
        <v>39</v>
      </c>
      <c r="D117" s="9">
        <f>Dau_vao!$C$20</f>
        <v>1</v>
      </c>
      <c r="E117" s="3">
        <f>Dau_vao!$D$20</f>
        <v>12250000</v>
      </c>
      <c r="F117" s="3">
        <f>Dau_vao!$E$20</f>
        <v>5250000</v>
      </c>
      <c r="G117" s="3">
        <f t="shared" si="6"/>
        <v>17500000</v>
      </c>
      <c r="H117" s="3">
        <f t="shared" si="7"/>
        <v>62300000</v>
      </c>
    </row>
    <row r="118" spans="1:8" x14ac:dyDescent="0.35">
      <c r="A118" s="2">
        <v>8</v>
      </c>
      <c r="B118" s="2" t="s">
        <v>40</v>
      </c>
      <c r="C118" s="2" t="s">
        <v>41</v>
      </c>
      <c r="D118" s="9">
        <f>Dau_vao!$C$21</f>
        <v>1</v>
      </c>
      <c r="E118" s="3">
        <f>Dau_vao!$D$21</f>
        <v>10780000</v>
      </c>
      <c r="F118" s="3">
        <f>Dau_vao!$E$21</f>
        <v>4620000</v>
      </c>
      <c r="G118" s="3">
        <f t="shared" si="6"/>
        <v>15400000</v>
      </c>
      <c r="H118" s="3">
        <f t="shared" si="7"/>
        <v>56700000</v>
      </c>
    </row>
    <row r="119" spans="1:8" x14ac:dyDescent="0.35">
      <c r="A119" s="2">
        <v>8</v>
      </c>
      <c r="B119" s="2" t="s">
        <v>40</v>
      </c>
      <c r="C119" s="2" t="s">
        <v>42</v>
      </c>
      <c r="D119" s="9">
        <f>Dau_vao!$C$22</f>
        <v>2</v>
      </c>
      <c r="E119" s="3">
        <f>Dau_vao!$D$22</f>
        <v>5880000</v>
      </c>
      <c r="F119" s="3">
        <f>Dau_vao!$E$22</f>
        <v>2520000</v>
      </c>
      <c r="G119" s="3">
        <f t="shared" si="6"/>
        <v>16800000</v>
      </c>
      <c r="H119" s="3">
        <f t="shared" si="7"/>
        <v>56700000</v>
      </c>
    </row>
    <row r="120" spans="1:8" x14ac:dyDescent="0.35">
      <c r="A120" s="2">
        <v>8</v>
      </c>
      <c r="B120" s="2" t="s">
        <v>40</v>
      </c>
      <c r="C120" s="2" t="s">
        <v>43</v>
      </c>
      <c r="D120" s="9">
        <f>Dau_vao!$C$23</f>
        <v>1</v>
      </c>
      <c r="E120" s="3">
        <f>Dau_vao!$D$23</f>
        <v>7349999.9999999991</v>
      </c>
      <c r="F120" s="3">
        <f>Dau_vao!$E$23</f>
        <v>3150000</v>
      </c>
      <c r="G120" s="3">
        <f t="shared" si="6"/>
        <v>10500000</v>
      </c>
      <c r="H120" s="3">
        <f t="shared" si="7"/>
        <v>56700000</v>
      </c>
    </row>
    <row r="121" spans="1:8" x14ac:dyDescent="0.35">
      <c r="A121" s="2">
        <v>8</v>
      </c>
      <c r="B121" s="2" t="s">
        <v>40</v>
      </c>
      <c r="C121" s="2" t="s">
        <v>44</v>
      </c>
      <c r="D121" s="9">
        <f>Dau_vao!$C$24</f>
        <v>2</v>
      </c>
      <c r="E121" s="3">
        <f>Dau_vao!$D$24</f>
        <v>4900000</v>
      </c>
      <c r="F121" s="3">
        <f>Dau_vao!$E$24</f>
        <v>2100000</v>
      </c>
      <c r="G121" s="3">
        <f t="shared" si="6"/>
        <v>14000000</v>
      </c>
      <c r="H121" s="3">
        <f t="shared" si="7"/>
        <v>56700000</v>
      </c>
    </row>
    <row r="122" spans="1:8" x14ac:dyDescent="0.35">
      <c r="A122" s="11">
        <v>9</v>
      </c>
      <c r="B122" s="11" t="s">
        <v>26</v>
      </c>
      <c r="C122" s="11" t="s">
        <v>27</v>
      </c>
      <c r="D122" s="11">
        <f>Dau_vao!$C$10</f>
        <v>1</v>
      </c>
      <c r="E122" s="12">
        <f>Dau_vao!$D$10</f>
        <v>12250000</v>
      </c>
      <c r="F122" s="12">
        <f>Dau_vao!$E$10</f>
        <v>5250000</v>
      </c>
      <c r="G122" s="12">
        <f t="shared" si="6"/>
        <v>17500000</v>
      </c>
      <c r="H122" s="12">
        <f t="shared" si="7"/>
        <v>64400000</v>
      </c>
    </row>
    <row r="123" spans="1:8" x14ac:dyDescent="0.35">
      <c r="A123" s="11">
        <v>9</v>
      </c>
      <c r="B123" s="11" t="s">
        <v>26</v>
      </c>
      <c r="C123" s="11" t="s">
        <v>28</v>
      </c>
      <c r="D123" s="11">
        <f>Dau_vao!$C$11</f>
        <v>2</v>
      </c>
      <c r="E123" s="12">
        <f>Dau_vao!$D$11</f>
        <v>7349999.9999999991</v>
      </c>
      <c r="F123" s="12">
        <f>Dau_vao!$E$11</f>
        <v>3150000</v>
      </c>
      <c r="G123" s="12">
        <f t="shared" si="6"/>
        <v>21000000</v>
      </c>
      <c r="H123" s="12">
        <f t="shared" si="7"/>
        <v>64400000</v>
      </c>
    </row>
    <row r="124" spans="1:8" x14ac:dyDescent="0.35">
      <c r="A124" s="11">
        <v>9</v>
      </c>
      <c r="B124" s="11" t="s">
        <v>26</v>
      </c>
      <c r="C124" s="11" t="s">
        <v>29</v>
      </c>
      <c r="D124" s="11">
        <f>Dau_vao!$C$12</f>
        <v>2</v>
      </c>
      <c r="E124" s="12">
        <f>Dau_vao!$D$12</f>
        <v>5880000</v>
      </c>
      <c r="F124" s="12">
        <f>Dau_vao!$E$12</f>
        <v>2520000</v>
      </c>
      <c r="G124" s="12">
        <f t="shared" si="6"/>
        <v>16800000</v>
      </c>
      <c r="H124" s="12">
        <f t="shared" si="7"/>
        <v>64400000</v>
      </c>
    </row>
    <row r="125" spans="1:8" x14ac:dyDescent="0.35">
      <c r="A125" s="11">
        <v>9</v>
      </c>
      <c r="B125" s="11" t="s">
        <v>26</v>
      </c>
      <c r="C125" s="11" t="s">
        <v>30</v>
      </c>
      <c r="D125" s="11">
        <f>Dau_vao!$C$13</f>
        <v>1</v>
      </c>
      <c r="E125" s="12">
        <f>Dau_vao!$D$13</f>
        <v>6370000</v>
      </c>
      <c r="F125" s="12">
        <f>Dau_vao!$E$13</f>
        <v>2730000</v>
      </c>
      <c r="G125" s="12">
        <f t="shared" si="6"/>
        <v>9100000</v>
      </c>
      <c r="H125" s="12">
        <f t="shared" si="7"/>
        <v>64400000</v>
      </c>
    </row>
    <row r="126" spans="1:8" x14ac:dyDescent="0.35">
      <c r="A126" s="11">
        <v>9</v>
      </c>
      <c r="B126" s="11" t="s">
        <v>31</v>
      </c>
      <c r="C126" s="11" t="s">
        <v>32</v>
      </c>
      <c r="D126" s="11">
        <f>Dau_vao!$C$14</f>
        <v>1</v>
      </c>
      <c r="E126" s="12">
        <f>Dau_vao!$D$14</f>
        <v>9800000</v>
      </c>
      <c r="F126" s="12">
        <f>Dau_vao!$E$14</f>
        <v>4200000</v>
      </c>
      <c r="G126" s="12">
        <f t="shared" si="6"/>
        <v>14000000</v>
      </c>
      <c r="H126" s="12">
        <f t="shared" si="7"/>
        <v>128800000</v>
      </c>
    </row>
    <row r="127" spans="1:8" x14ac:dyDescent="0.35">
      <c r="A127" s="11">
        <v>9</v>
      </c>
      <c r="B127" s="11" t="s">
        <v>31</v>
      </c>
      <c r="C127" s="11" t="s">
        <v>33</v>
      </c>
      <c r="D127" s="11">
        <f>Dau_vao!$C$15</f>
        <v>2</v>
      </c>
      <c r="E127" s="12">
        <f>Dau_vao!$D$15</f>
        <v>5880000</v>
      </c>
      <c r="F127" s="12">
        <f>Dau_vao!$E$15</f>
        <v>2520000</v>
      </c>
      <c r="G127" s="12">
        <f t="shared" si="6"/>
        <v>16800000</v>
      </c>
      <c r="H127" s="12">
        <f t="shared" si="7"/>
        <v>128800000</v>
      </c>
    </row>
    <row r="128" spans="1:8" x14ac:dyDescent="0.35">
      <c r="A128" s="11">
        <v>9</v>
      </c>
      <c r="B128" s="11" t="s">
        <v>31</v>
      </c>
      <c r="C128" s="11" t="s">
        <v>34</v>
      </c>
      <c r="D128" s="11">
        <f>Dau_vao!$C$16 + (9 * Assumptions!$B$6)</f>
        <v>14</v>
      </c>
      <c r="E128" s="12">
        <f>Dau_vao!$D$16</f>
        <v>4900000</v>
      </c>
      <c r="F128" s="12">
        <f>Dau_vao!$E$16</f>
        <v>2100000</v>
      </c>
      <c r="G128" s="12">
        <f t="shared" si="6"/>
        <v>98000000</v>
      </c>
      <c r="H128" s="12">
        <f t="shared" si="7"/>
        <v>128800000</v>
      </c>
    </row>
    <row r="129" spans="1:8" x14ac:dyDescent="0.35">
      <c r="A129" s="11">
        <v>9</v>
      </c>
      <c r="B129" s="11" t="s">
        <v>35</v>
      </c>
      <c r="C129" s="11" t="s">
        <v>35</v>
      </c>
      <c r="D129" s="11">
        <f>Dau_vao!$C$17</f>
        <v>1</v>
      </c>
      <c r="E129" s="12">
        <f>Dau_vao!$D$17</f>
        <v>7349999.9999999991</v>
      </c>
      <c r="F129" s="12">
        <f>Dau_vao!$E$17</f>
        <v>3150000</v>
      </c>
      <c r="G129" s="12">
        <f t="shared" si="6"/>
        <v>10500000</v>
      </c>
      <c r="H129" s="12">
        <f t="shared" si="7"/>
        <v>10500000</v>
      </c>
    </row>
    <row r="130" spans="1:8" x14ac:dyDescent="0.35">
      <c r="A130" s="11">
        <v>9</v>
      </c>
      <c r="B130" s="11" t="s">
        <v>36</v>
      </c>
      <c r="C130" s="11" t="s">
        <v>37</v>
      </c>
      <c r="D130" s="11">
        <f>Dau_vao!$C$18</f>
        <v>1</v>
      </c>
      <c r="E130" s="12">
        <f>Dau_vao!$D$18</f>
        <v>9800000</v>
      </c>
      <c r="F130" s="12">
        <f>Dau_vao!$E$18</f>
        <v>4200000</v>
      </c>
      <c r="G130" s="12">
        <f t="shared" ref="G130:G161" si="8">D130*(E130+F130)</f>
        <v>14000000</v>
      </c>
      <c r="H130" s="12">
        <f t="shared" ref="H130:H161" si="9">SUMIFS(G:G, A:A, A130, B:B, B130)</f>
        <v>62300000</v>
      </c>
    </row>
    <row r="131" spans="1:8" x14ac:dyDescent="0.35">
      <c r="A131" s="11">
        <v>9</v>
      </c>
      <c r="B131" s="11" t="s">
        <v>36</v>
      </c>
      <c r="C131" s="11" t="s">
        <v>38</v>
      </c>
      <c r="D131" s="11">
        <f>Dau_vao!$C$19</f>
        <v>2</v>
      </c>
      <c r="E131" s="12">
        <f>Dau_vao!$D$19</f>
        <v>10780000</v>
      </c>
      <c r="F131" s="12">
        <f>Dau_vao!$E$19</f>
        <v>4620000</v>
      </c>
      <c r="G131" s="12">
        <f t="shared" si="8"/>
        <v>30800000</v>
      </c>
      <c r="H131" s="12">
        <f t="shared" si="9"/>
        <v>62300000</v>
      </c>
    </row>
    <row r="132" spans="1:8" x14ac:dyDescent="0.35">
      <c r="A132" s="11">
        <v>9</v>
      </c>
      <c r="B132" s="11" t="s">
        <v>36</v>
      </c>
      <c r="C132" s="11" t="s">
        <v>39</v>
      </c>
      <c r="D132" s="11">
        <f>Dau_vao!$C$20</f>
        <v>1</v>
      </c>
      <c r="E132" s="12">
        <f>Dau_vao!$D$20</f>
        <v>12250000</v>
      </c>
      <c r="F132" s="12">
        <f>Dau_vao!$E$20</f>
        <v>5250000</v>
      </c>
      <c r="G132" s="12">
        <f t="shared" si="8"/>
        <v>17500000</v>
      </c>
      <c r="H132" s="12">
        <f t="shared" si="9"/>
        <v>62300000</v>
      </c>
    </row>
    <row r="133" spans="1:8" x14ac:dyDescent="0.35">
      <c r="A133" s="11">
        <v>9</v>
      </c>
      <c r="B133" s="11" t="s">
        <v>40</v>
      </c>
      <c r="C133" s="11" t="s">
        <v>41</v>
      </c>
      <c r="D133" s="11">
        <f>Dau_vao!$C$21</f>
        <v>1</v>
      </c>
      <c r="E133" s="12">
        <f>Dau_vao!$D$21</f>
        <v>10780000</v>
      </c>
      <c r="F133" s="12">
        <f>Dau_vao!$E$21</f>
        <v>4620000</v>
      </c>
      <c r="G133" s="12">
        <f t="shared" si="8"/>
        <v>15400000</v>
      </c>
      <c r="H133" s="12">
        <f t="shared" si="9"/>
        <v>56700000</v>
      </c>
    </row>
    <row r="134" spans="1:8" x14ac:dyDescent="0.35">
      <c r="A134" s="11">
        <v>9</v>
      </c>
      <c r="B134" s="11" t="s">
        <v>40</v>
      </c>
      <c r="C134" s="11" t="s">
        <v>42</v>
      </c>
      <c r="D134" s="11">
        <f>Dau_vao!$C$22</f>
        <v>2</v>
      </c>
      <c r="E134" s="12">
        <f>Dau_vao!$D$22</f>
        <v>5880000</v>
      </c>
      <c r="F134" s="12">
        <f>Dau_vao!$E$22</f>
        <v>2520000</v>
      </c>
      <c r="G134" s="12">
        <f t="shared" si="8"/>
        <v>16800000</v>
      </c>
      <c r="H134" s="12">
        <f t="shared" si="9"/>
        <v>56700000</v>
      </c>
    </row>
    <row r="135" spans="1:8" x14ac:dyDescent="0.35">
      <c r="A135" s="11">
        <v>9</v>
      </c>
      <c r="B135" s="11" t="s">
        <v>40</v>
      </c>
      <c r="C135" s="11" t="s">
        <v>43</v>
      </c>
      <c r="D135" s="11">
        <f>Dau_vao!$C$23</f>
        <v>1</v>
      </c>
      <c r="E135" s="12">
        <f>Dau_vao!$D$23</f>
        <v>7349999.9999999991</v>
      </c>
      <c r="F135" s="12">
        <f>Dau_vao!$E$23</f>
        <v>3150000</v>
      </c>
      <c r="G135" s="12">
        <f t="shared" si="8"/>
        <v>10500000</v>
      </c>
      <c r="H135" s="12">
        <f t="shared" si="9"/>
        <v>56700000</v>
      </c>
    </row>
    <row r="136" spans="1:8" x14ac:dyDescent="0.35">
      <c r="A136" s="11">
        <v>9</v>
      </c>
      <c r="B136" s="11" t="s">
        <v>40</v>
      </c>
      <c r="C136" s="11" t="s">
        <v>44</v>
      </c>
      <c r="D136" s="11">
        <f>Dau_vao!$C$24</f>
        <v>2</v>
      </c>
      <c r="E136" s="12">
        <f>Dau_vao!$D$24</f>
        <v>4900000</v>
      </c>
      <c r="F136" s="12">
        <f>Dau_vao!$E$24</f>
        <v>2100000</v>
      </c>
      <c r="G136" s="12">
        <f t="shared" si="8"/>
        <v>14000000</v>
      </c>
      <c r="H136" s="12">
        <f t="shared" si="9"/>
        <v>56700000</v>
      </c>
    </row>
    <row r="137" spans="1:8" x14ac:dyDescent="0.35">
      <c r="A137" s="2">
        <v>10</v>
      </c>
      <c r="B137" s="2" t="s">
        <v>26</v>
      </c>
      <c r="C137" s="2" t="s">
        <v>27</v>
      </c>
      <c r="D137" s="9">
        <f>Dau_vao!$C$10</f>
        <v>1</v>
      </c>
      <c r="E137" s="3">
        <f>Dau_vao!$D$10</f>
        <v>12250000</v>
      </c>
      <c r="F137" s="3">
        <f>Dau_vao!$E$10</f>
        <v>5250000</v>
      </c>
      <c r="G137" s="3">
        <f t="shared" si="8"/>
        <v>17500000</v>
      </c>
      <c r="H137" s="3">
        <f t="shared" si="9"/>
        <v>64400000</v>
      </c>
    </row>
    <row r="138" spans="1:8" x14ac:dyDescent="0.35">
      <c r="A138" s="2">
        <v>10</v>
      </c>
      <c r="B138" s="2" t="s">
        <v>26</v>
      </c>
      <c r="C138" s="2" t="s">
        <v>28</v>
      </c>
      <c r="D138" s="9">
        <f>Dau_vao!$C$11</f>
        <v>2</v>
      </c>
      <c r="E138" s="3">
        <f>Dau_vao!$D$11</f>
        <v>7349999.9999999991</v>
      </c>
      <c r="F138" s="3">
        <f>Dau_vao!$E$11</f>
        <v>3150000</v>
      </c>
      <c r="G138" s="3">
        <f t="shared" si="8"/>
        <v>21000000</v>
      </c>
      <c r="H138" s="3">
        <f t="shared" si="9"/>
        <v>64400000</v>
      </c>
    </row>
    <row r="139" spans="1:8" x14ac:dyDescent="0.35">
      <c r="A139" s="2">
        <v>10</v>
      </c>
      <c r="B139" s="2" t="s">
        <v>26</v>
      </c>
      <c r="C139" s="2" t="s">
        <v>29</v>
      </c>
      <c r="D139" s="9">
        <f>Dau_vao!$C$12</f>
        <v>2</v>
      </c>
      <c r="E139" s="3">
        <f>Dau_vao!$D$12</f>
        <v>5880000</v>
      </c>
      <c r="F139" s="3">
        <f>Dau_vao!$E$12</f>
        <v>2520000</v>
      </c>
      <c r="G139" s="3">
        <f t="shared" si="8"/>
        <v>16800000</v>
      </c>
      <c r="H139" s="3">
        <f t="shared" si="9"/>
        <v>64400000</v>
      </c>
    </row>
    <row r="140" spans="1:8" x14ac:dyDescent="0.35">
      <c r="A140" s="2">
        <v>10</v>
      </c>
      <c r="B140" s="2" t="s">
        <v>26</v>
      </c>
      <c r="C140" s="2" t="s">
        <v>30</v>
      </c>
      <c r="D140" s="9">
        <f>Dau_vao!$C$13</f>
        <v>1</v>
      </c>
      <c r="E140" s="3">
        <f>Dau_vao!$D$13</f>
        <v>6370000</v>
      </c>
      <c r="F140" s="3">
        <f>Dau_vao!$E$13</f>
        <v>2730000</v>
      </c>
      <c r="G140" s="3">
        <f t="shared" si="8"/>
        <v>9100000</v>
      </c>
      <c r="H140" s="3">
        <f t="shared" si="9"/>
        <v>64400000</v>
      </c>
    </row>
    <row r="141" spans="1:8" x14ac:dyDescent="0.35">
      <c r="A141" s="2">
        <v>10</v>
      </c>
      <c r="B141" s="2" t="s">
        <v>31</v>
      </c>
      <c r="C141" s="2" t="s">
        <v>32</v>
      </c>
      <c r="D141" s="9">
        <f>Dau_vao!$C$14</f>
        <v>1</v>
      </c>
      <c r="E141" s="3">
        <f>Dau_vao!$D$14</f>
        <v>9800000</v>
      </c>
      <c r="F141" s="3">
        <f>Dau_vao!$E$14</f>
        <v>4200000</v>
      </c>
      <c r="G141" s="3">
        <f t="shared" si="8"/>
        <v>14000000</v>
      </c>
      <c r="H141" s="3">
        <f t="shared" si="9"/>
        <v>135800000</v>
      </c>
    </row>
    <row r="142" spans="1:8" x14ac:dyDescent="0.35">
      <c r="A142" s="2">
        <v>10</v>
      </c>
      <c r="B142" s="2" t="s">
        <v>31</v>
      </c>
      <c r="C142" s="2" t="s">
        <v>33</v>
      </c>
      <c r="D142" s="9">
        <f>Dau_vao!$C$15</f>
        <v>2</v>
      </c>
      <c r="E142" s="3">
        <f>Dau_vao!$D$15</f>
        <v>5880000</v>
      </c>
      <c r="F142" s="3">
        <f>Dau_vao!$E$15</f>
        <v>2520000</v>
      </c>
      <c r="G142" s="3">
        <f t="shared" si="8"/>
        <v>16800000</v>
      </c>
      <c r="H142" s="3">
        <f t="shared" si="9"/>
        <v>135800000</v>
      </c>
    </row>
    <row r="143" spans="1:8" x14ac:dyDescent="0.35">
      <c r="A143" s="2">
        <v>10</v>
      </c>
      <c r="B143" s="2" t="s">
        <v>31</v>
      </c>
      <c r="C143" s="2" t="s">
        <v>34</v>
      </c>
      <c r="D143" s="9">
        <f>Dau_vao!$C$16 + (10 * Assumptions!$B$6)</f>
        <v>15</v>
      </c>
      <c r="E143" s="3">
        <f>Dau_vao!$D$16</f>
        <v>4900000</v>
      </c>
      <c r="F143" s="3">
        <f>Dau_vao!$E$16</f>
        <v>2100000</v>
      </c>
      <c r="G143" s="3">
        <f t="shared" si="8"/>
        <v>105000000</v>
      </c>
      <c r="H143" s="3">
        <f t="shared" si="9"/>
        <v>135800000</v>
      </c>
    </row>
    <row r="144" spans="1:8" x14ac:dyDescent="0.35">
      <c r="A144" s="2">
        <v>10</v>
      </c>
      <c r="B144" s="2" t="s">
        <v>35</v>
      </c>
      <c r="C144" s="2" t="s">
        <v>35</v>
      </c>
      <c r="D144" s="9">
        <f>Dau_vao!$C$17</f>
        <v>1</v>
      </c>
      <c r="E144" s="3">
        <f>Dau_vao!$D$17</f>
        <v>7349999.9999999991</v>
      </c>
      <c r="F144" s="3">
        <f>Dau_vao!$E$17</f>
        <v>3150000</v>
      </c>
      <c r="G144" s="3">
        <f t="shared" si="8"/>
        <v>10500000</v>
      </c>
      <c r="H144" s="3">
        <f t="shared" si="9"/>
        <v>10500000</v>
      </c>
    </row>
    <row r="145" spans="1:8" x14ac:dyDescent="0.35">
      <c r="A145" s="2">
        <v>10</v>
      </c>
      <c r="B145" s="2" t="s">
        <v>36</v>
      </c>
      <c r="C145" s="2" t="s">
        <v>37</v>
      </c>
      <c r="D145" s="9">
        <f>Dau_vao!$C$18</f>
        <v>1</v>
      </c>
      <c r="E145" s="3">
        <f>Dau_vao!$D$18</f>
        <v>9800000</v>
      </c>
      <c r="F145" s="3">
        <f>Dau_vao!$E$18</f>
        <v>4200000</v>
      </c>
      <c r="G145" s="3">
        <f t="shared" si="8"/>
        <v>14000000</v>
      </c>
      <c r="H145" s="3">
        <f t="shared" si="9"/>
        <v>62300000</v>
      </c>
    </row>
    <row r="146" spans="1:8" x14ac:dyDescent="0.35">
      <c r="A146" s="2">
        <v>10</v>
      </c>
      <c r="B146" s="2" t="s">
        <v>36</v>
      </c>
      <c r="C146" s="2" t="s">
        <v>38</v>
      </c>
      <c r="D146" s="9">
        <f>Dau_vao!$C$19</f>
        <v>2</v>
      </c>
      <c r="E146" s="3">
        <f>Dau_vao!$D$19</f>
        <v>10780000</v>
      </c>
      <c r="F146" s="3">
        <f>Dau_vao!$E$19</f>
        <v>4620000</v>
      </c>
      <c r="G146" s="3">
        <f t="shared" si="8"/>
        <v>30800000</v>
      </c>
      <c r="H146" s="3">
        <f t="shared" si="9"/>
        <v>62300000</v>
      </c>
    </row>
    <row r="147" spans="1:8" x14ac:dyDescent="0.35">
      <c r="A147" s="2">
        <v>10</v>
      </c>
      <c r="B147" s="2" t="s">
        <v>36</v>
      </c>
      <c r="C147" s="2" t="s">
        <v>39</v>
      </c>
      <c r="D147" s="9">
        <f>Dau_vao!$C$20</f>
        <v>1</v>
      </c>
      <c r="E147" s="3">
        <f>Dau_vao!$D$20</f>
        <v>12250000</v>
      </c>
      <c r="F147" s="3">
        <f>Dau_vao!$E$20</f>
        <v>5250000</v>
      </c>
      <c r="G147" s="3">
        <f t="shared" si="8"/>
        <v>17500000</v>
      </c>
      <c r="H147" s="3">
        <f t="shared" si="9"/>
        <v>62300000</v>
      </c>
    </row>
    <row r="148" spans="1:8" x14ac:dyDescent="0.35">
      <c r="A148" s="2">
        <v>10</v>
      </c>
      <c r="B148" s="2" t="s">
        <v>40</v>
      </c>
      <c r="C148" s="2" t="s">
        <v>41</v>
      </c>
      <c r="D148" s="9">
        <f>Dau_vao!$C$21</f>
        <v>1</v>
      </c>
      <c r="E148" s="3">
        <f>Dau_vao!$D$21</f>
        <v>10780000</v>
      </c>
      <c r="F148" s="3">
        <f>Dau_vao!$E$21</f>
        <v>4620000</v>
      </c>
      <c r="G148" s="3">
        <f t="shared" si="8"/>
        <v>15400000</v>
      </c>
      <c r="H148" s="3">
        <f t="shared" si="9"/>
        <v>56700000</v>
      </c>
    </row>
    <row r="149" spans="1:8" x14ac:dyDescent="0.35">
      <c r="A149" s="2">
        <v>10</v>
      </c>
      <c r="B149" s="2" t="s">
        <v>40</v>
      </c>
      <c r="C149" s="2" t="s">
        <v>42</v>
      </c>
      <c r="D149" s="9">
        <f>Dau_vao!$C$22</f>
        <v>2</v>
      </c>
      <c r="E149" s="3">
        <f>Dau_vao!$D$22</f>
        <v>5880000</v>
      </c>
      <c r="F149" s="3">
        <f>Dau_vao!$E$22</f>
        <v>2520000</v>
      </c>
      <c r="G149" s="3">
        <f t="shared" si="8"/>
        <v>16800000</v>
      </c>
      <c r="H149" s="3">
        <f t="shared" si="9"/>
        <v>56700000</v>
      </c>
    </row>
    <row r="150" spans="1:8" x14ac:dyDescent="0.35">
      <c r="A150" s="2">
        <v>10</v>
      </c>
      <c r="B150" s="2" t="s">
        <v>40</v>
      </c>
      <c r="C150" s="2" t="s">
        <v>43</v>
      </c>
      <c r="D150" s="9">
        <f>Dau_vao!$C$23</f>
        <v>1</v>
      </c>
      <c r="E150" s="3">
        <f>Dau_vao!$D$23</f>
        <v>7349999.9999999991</v>
      </c>
      <c r="F150" s="3">
        <f>Dau_vao!$E$23</f>
        <v>3150000</v>
      </c>
      <c r="G150" s="3">
        <f t="shared" si="8"/>
        <v>10500000</v>
      </c>
      <c r="H150" s="3">
        <f t="shared" si="9"/>
        <v>56700000</v>
      </c>
    </row>
    <row r="151" spans="1:8" x14ac:dyDescent="0.35">
      <c r="A151" s="2">
        <v>10</v>
      </c>
      <c r="B151" s="2" t="s">
        <v>40</v>
      </c>
      <c r="C151" s="2" t="s">
        <v>44</v>
      </c>
      <c r="D151" s="9">
        <f>Dau_vao!$C$24</f>
        <v>2</v>
      </c>
      <c r="E151" s="3">
        <f>Dau_vao!$D$24</f>
        <v>4900000</v>
      </c>
      <c r="F151" s="3">
        <f>Dau_vao!$E$24</f>
        <v>2100000</v>
      </c>
      <c r="G151" s="3">
        <f t="shared" si="8"/>
        <v>14000000</v>
      </c>
      <c r="H151" s="3">
        <f t="shared" si="9"/>
        <v>56700000</v>
      </c>
    </row>
    <row r="152" spans="1:8" x14ac:dyDescent="0.35">
      <c r="A152" s="11">
        <v>11</v>
      </c>
      <c r="B152" s="11" t="s">
        <v>26</v>
      </c>
      <c r="C152" s="11" t="s">
        <v>27</v>
      </c>
      <c r="D152" s="11">
        <f>Dau_vao!$C$10</f>
        <v>1</v>
      </c>
      <c r="E152" s="12">
        <f>Dau_vao!$D$10</f>
        <v>12250000</v>
      </c>
      <c r="F152" s="12">
        <f>Dau_vao!$E$10</f>
        <v>5250000</v>
      </c>
      <c r="G152" s="12">
        <f t="shared" si="8"/>
        <v>17500000</v>
      </c>
      <c r="H152" s="12">
        <f t="shared" si="9"/>
        <v>64400000</v>
      </c>
    </row>
    <row r="153" spans="1:8" x14ac:dyDescent="0.35">
      <c r="A153" s="11">
        <v>11</v>
      </c>
      <c r="B153" s="11" t="s">
        <v>26</v>
      </c>
      <c r="C153" s="11" t="s">
        <v>28</v>
      </c>
      <c r="D153" s="11">
        <f>Dau_vao!$C$11</f>
        <v>2</v>
      </c>
      <c r="E153" s="12">
        <f>Dau_vao!$D$11</f>
        <v>7349999.9999999991</v>
      </c>
      <c r="F153" s="12">
        <f>Dau_vao!$E$11</f>
        <v>3150000</v>
      </c>
      <c r="G153" s="12">
        <f t="shared" si="8"/>
        <v>21000000</v>
      </c>
      <c r="H153" s="12">
        <f t="shared" si="9"/>
        <v>64400000</v>
      </c>
    </row>
    <row r="154" spans="1:8" x14ac:dyDescent="0.35">
      <c r="A154" s="11">
        <v>11</v>
      </c>
      <c r="B154" s="11" t="s">
        <v>26</v>
      </c>
      <c r="C154" s="11" t="s">
        <v>29</v>
      </c>
      <c r="D154" s="11">
        <f>Dau_vao!$C$12</f>
        <v>2</v>
      </c>
      <c r="E154" s="12">
        <f>Dau_vao!$D$12</f>
        <v>5880000</v>
      </c>
      <c r="F154" s="12">
        <f>Dau_vao!$E$12</f>
        <v>2520000</v>
      </c>
      <c r="G154" s="12">
        <f t="shared" si="8"/>
        <v>16800000</v>
      </c>
      <c r="H154" s="12">
        <f t="shared" si="9"/>
        <v>64400000</v>
      </c>
    </row>
    <row r="155" spans="1:8" x14ac:dyDescent="0.35">
      <c r="A155" s="11">
        <v>11</v>
      </c>
      <c r="B155" s="11" t="s">
        <v>26</v>
      </c>
      <c r="C155" s="11" t="s">
        <v>30</v>
      </c>
      <c r="D155" s="11">
        <f>Dau_vao!$C$13</f>
        <v>1</v>
      </c>
      <c r="E155" s="12">
        <f>Dau_vao!$D$13</f>
        <v>6370000</v>
      </c>
      <c r="F155" s="12">
        <f>Dau_vao!$E$13</f>
        <v>2730000</v>
      </c>
      <c r="G155" s="12">
        <f t="shared" si="8"/>
        <v>9100000</v>
      </c>
      <c r="H155" s="12">
        <f t="shared" si="9"/>
        <v>64400000</v>
      </c>
    </row>
    <row r="156" spans="1:8" x14ac:dyDescent="0.35">
      <c r="A156" s="11">
        <v>11</v>
      </c>
      <c r="B156" s="11" t="s">
        <v>31</v>
      </c>
      <c r="C156" s="11" t="s">
        <v>32</v>
      </c>
      <c r="D156" s="11">
        <f>Dau_vao!$C$14</f>
        <v>1</v>
      </c>
      <c r="E156" s="12">
        <f>Dau_vao!$D$14</f>
        <v>9800000</v>
      </c>
      <c r="F156" s="12">
        <f>Dau_vao!$E$14</f>
        <v>4200000</v>
      </c>
      <c r="G156" s="12">
        <f t="shared" si="8"/>
        <v>14000000</v>
      </c>
      <c r="H156" s="12">
        <f t="shared" si="9"/>
        <v>142800000</v>
      </c>
    </row>
    <row r="157" spans="1:8" x14ac:dyDescent="0.35">
      <c r="A157" s="11">
        <v>11</v>
      </c>
      <c r="B157" s="11" t="s">
        <v>31</v>
      </c>
      <c r="C157" s="11" t="s">
        <v>33</v>
      </c>
      <c r="D157" s="11">
        <f>Dau_vao!$C$15</f>
        <v>2</v>
      </c>
      <c r="E157" s="12">
        <f>Dau_vao!$D$15</f>
        <v>5880000</v>
      </c>
      <c r="F157" s="12">
        <f>Dau_vao!$E$15</f>
        <v>2520000</v>
      </c>
      <c r="G157" s="12">
        <f t="shared" si="8"/>
        <v>16800000</v>
      </c>
      <c r="H157" s="12">
        <f t="shared" si="9"/>
        <v>142800000</v>
      </c>
    </row>
    <row r="158" spans="1:8" x14ac:dyDescent="0.35">
      <c r="A158" s="11">
        <v>11</v>
      </c>
      <c r="B158" s="11" t="s">
        <v>31</v>
      </c>
      <c r="C158" s="11" t="s">
        <v>34</v>
      </c>
      <c r="D158" s="11">
        <f>Dau_vao!$C$16 + (11 * Assumptions!$B$6)</f>
        <v>16</v>
      </c>
      <c r="E158" s="12">
        <f>Dau_vao!$D$16</f>
        <v>4900000</v>
      </c>
      <c r="F158" s="12">
        <f>Dau_vao!$E$16</f>
        <v>2100000</v>
      </c>
      <c r="G158" s="12">
        <f t="shared" si="8"/>
        <v>112000000</v>
      </c>
      <c r="H158" s="12">
        <f t="shared" si="9"/>
        <v>142800000</v>
      </c>
    </row>
    <row r="159" spans="1:8" x14ac:dyDescent="0.35">
      <c r="A159" s="11">
        <v>11</v>
      </c>
      <c r="B159" s="11" t="s">
        <v>35</v>
      </c>
      <c r="C159" s="11" t="s">
        <v>35</v>
      </c>
      <c r="D159" s="11">
        <f>Dau_vao!$C$17</f>
        <v>1</v>
      </c>
      <c r="E159" s="12">
        <f>Dau_vao!$D$17</f>
        <v>7349999.9999999991</v>
      </c>
      <c r="F159" s="12">
        <f>Dau_vao!$E$17</f>
        <v>3150000</v>
      </c>
      <c r="G159" s="12">
        <f t="shared" si="8"/>
        <v>10500000</v>
      </c>
      <c r="H159" s="12">
        <f t="shared" si="9"/>
        <v>10500000</v>
      </c>
    </row>
    <row r="160" spans="1:8" x14ac:dyDescent="0.35">
      <c r="A160" s="11">
        <v>11</v>
      </c>
      <c r="B160" s="11" t="s">
        <v>36</v>
      </c>
      <c r="C160" s="11" t="s">
        <v>37</v>
      </c>
      <c r="D160" s="11">
        <f>Dau_vao!$C$18</f>
        <v>1</v>
      </c>
      <c r="E160" s="12">
        <f>Dau_vao!$D$18</f>
        <v>9800000</v>
      </c>
      <c r="F160" s="12">
        <f>Dau_vao!$E$18</f>
        <v>4200000</v>
      </c>
      <c r="G160" s="12">
        <f t="shared" si="8"/>
        <v>14000000</v>
      </c>
      <c r="H160" s="12">
        <f t="shared" si="9"/>
        <v>62300000</v>
      </c>
    </row>
    <row r="161" spans="1:8" x14ac:dyDescent="0.35">
      <c r="A161" s="11">
        <v>11</v>
      </c>
      <c r="B161" s="11" t="s">
        <v>36</v>
      </c>
      <c r="C161" s="11" t="s">
        <v>38</v>
      </c>
      <c r="D161" s="11">
        <f>Dau_vao!$C$19</f>
        <v>2</v>
      </c>
      <c r="E161" s="12">
        <f>Dau_vao!$D$19</f>
        <v>10780000</v>
      </c>
      <c r="F161" s="12">
        <f>Dau_vao!$E$19</f>
        <v>4620000</v>
      </c>
      <c r="G161" s="12">
        <f t="shared" si="8"/>
        <v>30800000</v>
      </c>
      <c r="H161" s="12">
        <f t="shared" si="9"/>
        <v>62300000</v>
      </c>
    </row>
    <row r="162" spans="1:8" x14ac:dyDescent="0.35">
      <c r="A162" s="11">
        <v>11</v>
      </c>
      <c r="B162" s="11" t="s">
        <v>36</v>
      </c>
      <c r="C162" s="11" t="s">
        <v>39</v>
      </c>
      <c r="D162" s="11">
        <f>Dau_vao!$C$20</f>
        <v>1</v>
      </c>
      <c r="E162" s="12">
        <f>Dau_vao!$D$20</f>
        <v>12250000</v>
      </c>
      <c r="F162" s="12">
        <f>Dau_vao!$E$20</f>
        <v>5250000</v>
      </c>
      <c r="G162" s="12">
        <f t="shared" ref="G162:G181" si="10">D162*(E162+F162)</f>
        <v>17500000</v>
      </c>
      <c r="H162" s="12">
        <f t="shared" ref="H162:H181" si="11">SUMIFS(G:G, A:A, A162, B:B, B162)</f>
        <v>62300000</v>
      </c>
    </row>
    <row r="163" spans="1:8" x14ac:dyDescent="0.35">
      <c r="A163" s="11">
        <v>11</v>
      </c>
      <c r="B163" s="11" t="s">
        <v>40</v>
      </c>
      <c r="C163" s="11" t="s">
        <v>41</v>
      </c>
      <c r="D163" s="11">
        <f>Dau_vao!$C$21</f>
        <v>1</v>
      </c>
      <c r="E163" s="12">
        <f>Dau_vao!$D$21</f>
        <v>10780000</v>
      </c>
      <c r="F163" s="12">
        <f>Dau_vao!$E$21</f>
        <v>4620000</v>
      </c>
      <c r="G163" s="12">
        <f t="shared" si="10"/>
        <v>15400000</v>
      </c>
      <c r="H163" s="12">
        <f t="shared" si="11"/>
        <v>56700000</v>
      </c>
    </row>
    <row r="164" spans="1:8" x14ac:dyDescent="0.35">
      <c r="A164" s="11">
        <v>11</v>
      </c>
      <c r="B164" s="11" t="s">
        <v>40</v>
      </c>
      <c r="C164" s="11" t="s">
        <v>42</v>
      </c>
      <c r="D164" s="11">
        <f>Dau_vao!$C$22</f>
        <v>2</v>
      </c>
      <c r="E164" s="12">
        <f>Dau_vao!$D$22</f>
        <v>5880000</v>
      </c>
      <c r="F164" s="12">
        <f>Dau_vao!$E$22</f>
        <v>2520000</v>
      </c>
      <c r="G164" s="12">
        <f t="shared" si="10"/>
        <v>16800000</v>
      </c>
      <c r="H164" s="12">
        <f t="shared" si="11"/>
        <v>56700000</v>
      </c>
    </row>
    <row r="165" spans="1:8" x14ac:dyDescent="0.35">
      <c r="A165" s="11">
        <v>11</v>
      </c>
      <c r="B165" s="11" t="s">
        <v>40</v>
      </c>
      <c r="C165" s="11" t="s">
        <v>43</v>
      </c>
      <c r="D165" s="11">
        <f>Dau_vao!$C$23</f>
        <v>1</v>
      </c>
      <c r="E165" s="12">
        <f>Dau_vao!$D$23</f>
        <v>7349999.9999999991</v>
      </c>
      <c r="F165" s="12">
        <f>Dau_vao!$E$23</f>
        <v>3150000</v>
      </c>
      <c r="G165" s="12">
        <f t="shared" si="10"/>
        <v>10500000</v>
      </c>
      <c r="H165" s="12">
        <f t="shared" si="11"/>
        <v>56700000</v>
      </c>
    </row>
    <row r="166" spans="1:8" x14ac:dyDescent="0.35">
      <c r="A166" s="11">
        <v>11</v>
      </c>
      <c r="B166" s="11" t="s">
        <v>40</v>
      </c>
      <c r="C166" s="11" t="s">
        <v>44</v>
      </c>
      <c r="D166" s="11">
        <f>Dau_vao!$C$24</f>
        <v>2</v>
      </c>
      <c r="E166" s="12">
        <f>Dau_vao!$D$24</f>
        <v>4900000</v>
      </c>
      <c r="F166" s="12">
        <f>Dau_vao!$E$24</f>
        <v>2100000</v>
      </c>
      <c r="G166" s="12">
        <f t="shared" si="10"/>
        <v>14000000</v>
      </c>
      <c r="H166" s="12">
        <f t="shared" si="11"/>
        <v>56700000</v>
      </c>
    </row>
    <row r="167" spans="1:8" x14ac:dyDescent="0.35">
      <c r="A167" s="2">
        <v>12</v>
      </c>
      <c r="B167" s="2" t="s">
        <v>26</v>
      </c>
      <c r="C167" s="2" t="s">
        <v>27</v>
      </c>
      <c r="D167" s="9">
        <f>Dau_vao!$C$10</f>
        <v>1</v>
      </c>
      <c r="E167" s="3">
        <f>Dau_vao!$D$10</f>
        <v>12250000</v>
      </c>
      <c r="F167" s="3">
        <f>Dau_vao!$E$10</f>
        <v>5250000</v>
      </c>
      <c r="G167" s="3">
        <f t="shared" si="10"/>
        <v>17500000</v>
      </c>
      <c r="H167" s="3">
        <f t="shared" si="11"/>
        <v>64400000</v>
      </c>
    </row>
    <row r="168" spans="1:8" x14ac:dyDescent="0.35">
      <c r="A168" s="2">
        <v>12</v>
      </c>
      <c r="B168" s="2" t="s">
        <v>26</v>
      </c>
      <c r="C168" s="2" t="s">
        <v>28</v>
      </c>
      <c r="D168" s="9">
        <f>Dau_vao!$C$11</f>
        <v>2</v>
      </c>
      <c r="E168" s="3">
        <f>Dau_vao!$D$11</f>
        <v>7349999.9999999991</v>
      </c>
      <c r="F168" s="3">
        <f>Dau_vao!$E$11</f>
        <v>3150000</v>
      </c>
      <c r="G168" s="3">
        <f t="shared" si="10"/>
        <v>21000000</v>
      </c>
      <c r="H168" s="3">
        <f t="shared" si="11"/>
        <v>64400000</v>
      </c>
    </row>
    <row r="169" spans="1:8" x14ac:dyDescent="0.35">
      <c r="A169" s="2">
        <v>12</v>
      </c>
      <c r="B169" s="2" t="s">
        <v>26</v>
      </c>
      <c r="C169" s="2" t="s">
        <v>29</v>
      </c>
      <c r="D169" s="9">
        <f>Dau_vao!$C$12</f>
        <v>2</v>
      </c>
      <c r="E169" s="3">
        <f>Dau_vao!$D$12</f>
        <v>5880000</v>
      </c>
      <c r="F169" s="3">
        <f>Dau_vao!$E$12</f>
        <v>2520000</v>
      </c>
      <c r="G169" s="3">
        <f t="shared" si="10"/>
        <v>16800000</v>
      </c>
      <c r="H169" s="3">
        <f t="shared" si="11"/>
        <v>64400000</v>
      </c>
    </row>
    <row r="170" spans="1:8" x14ac:dyDescent="0.35">
      <c r="A170" s="2">
        <v>12</v>
      </c>
      <c r="B170" s="2" t="s">
        <v>26</v>
      </c>
      <c r="C170" s="2" t="s">
        <v>30</v>
      </c>
      <c r="D170" s="9">
        <f>Dau_vao!$C$13</f>
        <v>1</v>
      </c>
      <c r="E170" s="3">
        <f>Dau_vao!$D$13</f>
        <v>6370000</v>
      </c>
      <c r="F170" s="3">
        <f>Dau_vao!$E$13</f>
        <v>2730000</v>
      </c>
      <c r="G170" s="3">
        <f t="shared" si="10"/>
        <v>9100000</v>
      </c>
      <c r="H170" s="3">
        <f t="shared" si="11"/>
        <v>64400000</v>
      </c>
    </row>
    <row r="171" spans="1:8" x14ac:dyDescent="0.35">
      <c r="A171" s="2">
        <v>12</v>
      </c>
      <c r="B171" s="2" t="s">
        <v>31</v>
      </c>
      <c r="C171" s="2" t="s">
        <v>32</v>
      </c>
      <c r="D171" s="9">
        <f>Dau_vao!$C$14</f>
        <v>1</v>
      </c>
      <c r="E171" s="3">
        <f>Dau_vao!$D$14</f>
        <v>9800000</v>
      </c>
      <c r="F171" s="3">
        <f>Dau_vao!$E$14</f>
        <v>4200000</v>
      </c>
      <c r="G171" s="3">
        <f t="shared" si="10"/>
        <v>14000000</v>
      </c>
      <c r="H171" s="3">
        <f t="shared" si="11"/>
        <v>149800000</v>
      </c>
    </row>
    <row r="172" spans="1:8" x14ac:dyDescent="0.35">
      <c r="A172" s="2">
        <v>12</v>
      </c>
      <c r="B172" s="2" t="s">
        <v>31</v>
      </c>
      <c r="C172" s="2" t="s">
        <v>33</v>
      </c>
      <c r="D172" s="9">
        <f>Dau_vao!$C$15</f>
        <v>2</v>
      </c>
      <c r="E172" s="3">
        <f>Dau_vao!$D$15</f>
        <v>5880000</v>
      </c>
      <c r="F172" s="3">
        <f>Dau_vao!$E$15</f>
        <v>2520000</v>
      </c>
      <c r="G172" s="3">
        <f t="shared" si="10"/>
        <v>16800000</v>
      </c>
      <c r="H172" s="3">
        <f t="shared" si="11"/>
        <v>149800000</v>
      </c>
    </row>
    <row r="173" spans="1:8" x14ac:dyDescent="0.35">
      <c r="A173" s="2">
        <v>12</v>
      </c>
      <c r="B173" s="2" t="s">
        <v>31</v>
      </c>
      <c r="C173" s="2" t="s">
        <v>34</v>
      </c>
      <c r="D173" s="9">
        <f>Dau_vao!$C$16 + (12 * Assumptions!$B$6)</f>
        <v>17</v>
      </c>
      <c r="E173" s="3">
        <f>Dau_vao!$D$16</f>
        <v>4900000</v>
      </c>
      <c r="F173" s="3">
        <f>Dau_vao!$E$16</f>
        <v>2100000</v>
      </c>
      <c r="G173" s="3">
        <f t="shared" si="10"/>
        <v>119000000</v>
      </c>
      <c r="H173" s="3">
        <f t="shared" si="11"/>
        <v>149800000</v>
      </c>
    </row>
    <row r="174" spans="1:8" x14ac:dyDescent="0.35">
      <c r="A174" s="2">
        <v>12</v>
      </c>
      <c r="B174" s="2" t="s">
        <v>35</v>
      </c>
      <c r="C174" s="2" t="s">
        <v>35</v>
      </c>
      <c r="D174" s="9">
        <f>Dau_vao!$C$17</f>
        <v>1</v>
      </c>
      <c r="E174" s="3">
        <f>Dau_vao!$D$17</f>
        <v>7349999.9999999991</v>
      </c>
      <c r="F174" s="3">
        <f>Dau_vao!$E$17</f>
        <v>3150000</v>
      </c>
      <c r="G174" s="3">
        <f t="shared" si="10"/>
        <v>10500000</v>
      </c>
      <c r="H174" s="3">
        <f t="shared" si="11"/>
        <v>10500000</v>
      </c>
    </row>
    <row r="175" spans="1:8" x14ac:dyDescent="0.35">
      <c r="A175" s="2">
        <v>12</v>
      </c>
      <c r="B175" s="2" t="s">
        <v>36</v>
      </c>
      <c r="C175" s="2" t="s">
        <v>37</v>
      </c>
      <c r="D175" s="9">
        <f>Dau_vao!$C$18</f>
        <v>1</v>
      </c>
      <c r="E175" s="3">
        <f>Dau_vao!$D$18</f>
        <v>9800000</v>
      </c>
      <c r="F175" s="3">
        <f>Dau_vao!$E$18</f>
        <v>4200000</v>
      </c>
      <c r="G175" s="3">
        <f t="shared" si="10"/>
        <v>14000000</v>
      </c>
      <c r="H175" s="3">
        <f t="shared" si="11"/>
        <v>62300000</v>
      </c>
    </row>
    <row r="176" spans="1:8" x14ac:dyDescent="0.35">
      <c r="A176" s="2">
        <v>12</v>
      </c>
      <c r="B176" s="2" t="s">
        <v>36</v>
      </c>
      <c r="C176" s="2" t="s">
        <v>38</v>
      </c>
      <c r="D176" s="9">
        <f>Dau_vao!$C$19</f>
        <v>2</v>
      </c>
      <c r="E176" s="3">
        <f>Dau_vao!$D$19</f>
        <v>10780000</v>
      </c>
      <c r="F176" s="3">
        <f>Dau_vao!$E$19</f>
        <v>4620000</v>
      </c>
      <c r="G176" s="3">
        <f t="shared" si="10"/>
        <v>30800000</v>
      </c>
      <c r="H176" s="3">
        <f t="shared" si="11"/>
        <v>62300000</v>
      </c>
    </row>
    <row r="177" spans="1:8" x14ac:dyDescent="0.35">
      <c r="A177" s="2">
        <v>12</v>
      </c>
      <c r="B177" s="2" t="s">
        <v>36</v>
      </c>
      <c r="C177" s="2" t="s">
        <v>39</v>
      </c>
      <c r="D177" s="9">
        <f>Dau_vao!$C$20</f>
        <v>1</v>
      </c>
      <c r="E177" s="3">
        <f>Dau_vao!$D$20</f>
        <v>12250000</v>
      </c>
      <c r="F177" s="3">
        <f>Dau_vao!$E$20</f>
        <v>5250000</v>
      </c>
      <c r="G177" s="3">
        <f t="shared" si="10"/>
        <v>17500000</v>
      </c>
      <c r="H177" s="3">
        <f t="shared" si="11"/>
        <v>62300000</v>
      </c>
    </row>
    <row r="178" spans="1:8" x14ac:dyDescent="0.35">
      <c r="A178" s="2">
        <v>12</v>
      </c>
      <c r="B178" s="2" t="s">
        <v>40</v>
      </c>
      <c r="C178" s="2" t="s">
        <v>41</v>
      </c>
      <c r="D178" s="9">
        <f>Dau_vao!$C$21</f>
        <v>1</v>
      </c>
      <c r="E178" s="3">
        <f>Dau_vao!$D$21</f>
        <v>10780000</v>
      </c>
      <c r="F178" s="3">
        <f>Dau_vao!$E$21</f>
        <v>4620000</v>
      </c>
      <c r="G178" s="3">
        <f t="shared" si="10"/>
        <v>15400000</v>
      </c>
      <c r="H178" s="3">
        <f t="shared" si="11"/>
        <v>56700000</v>
      </c>
    </row>
    <row r="179" spans="1:8" x14ac:dyDescent="0.35">
      <c r="A179" s="2">
        <v>12</v>
      </c>
      <c r="B179" s="2" t="s">
        <v>40</v>
      </c>
      <c r="C179" s="2" t="s">
        <v>42</v>
      </c>
      <c r="D179" s="9">
        <f>Dau_vao!$C$22</f>
        <v>2</v>
      </c>
      <c r="E179" s="3">
        <f>Dau_vao!$D$22</f>
        <v>5880000</v>
      </c>
      <c r="F179" s="3">
        <f>Dau_vao!$E$22</f>
        <v>2520000</v>
      </c>
      <c r="G179" s="3">
        <f t="shared" si="10"/>
        <v>16800000</v>
      </c>
      <c r="H179" s="3">
        <f t="shared" si="11"/>
        <v>56700000</v>
      </c>
    </row>
    <row r="180" spans="1:8" x14ac:dyDescent="0.35">
      <c r="A180" s="2">
        <v>12</v>
      </c>
      <c r="B180" s="2" t="s">
        <v>40</v>
      </c>
      <c r="C180" s="2" t="s">
        <v>43</v>
      </c>
      <c r="D180" s="9">
        <f>Dau_vao!$C$23</f>
        <v>1</v>
      </c>
      <c r="E180" s="3">
        <f>Dau_vao!$D$23</f>
        <v>7349999.9999999991</v>
      </c>
      <c r="F180" s="3">
        <f>Dau_vao!$E$23</f>
        <v>3150000</v>
      </c>
      <c r="G180" s="3">
        <f t="shared" si="10"/>
        <v>10500000</v>
      </c>
      <c r="H180" s="3">
        <f t="shared" si="11"/>
        <v>56700000</v>
      </c>
    </row>
    <row r="181" spans="1:8" x14ac:dyDescent="0.35">
      <c r="A181" s="2">
        <v>12</v>
      </c>
      <c r="B181" s="2" t="s">
        <v>40</v>
      </c>
      <c r="C181" s="2" t="s">
        <v>44</v>
      </c>
      <c r="D181" s="9">
        <f>Dau_vao!$C$24</f>
        <v>2</v>
      </c>
      <c r="E181" s="3">
        <f>Dau_vao!$D$24</f>
        <v>4900000</v>
      </c>
      <c r="F181" s="3">
        <f>Dau_vao!$E$24</f>
        <v>2100000</v>
      </c>
      <c r="G181" s="3">
        <f t="shared" si="10"/>
        <v>14000000</v>
      </c>
      <c r="H181" s="3">
        <f t="shared" si="11"/>
        <v>56700000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tabSelected="1" zoomScale="119" workbookViewId="0">
      <selection activeCell="K9" sqref="K9"/>
    </sheetView>
  </sheetViews>
  <sheetFormatPr defaultRowHeight="14.5" x14ac:dyDescent="0.35"/>
  <cols>
    <col min="1" max="1" width="6" customWidth="1"/>
    <col min="2" max="2" width="10.453125" bestFit="1" customWidth="1"/>
    <col min="3" max="3" width="10.7265625" bestFit="1" customWidth="1"/>
    <col min="4" max="4" width="11.81640625" bestFit="1" customWidth="1"/>
    <col min="5" max="5" width="9.08984375" bestFit="1" customWidth="1"/>
    <col min="6" max="6" width="8.08984375" customWidth="1"/>
    <col min="7" max="7" width="7.36328125" bestFit="1" customWidth="1"/>
  </cols>
  <sheetData>
    <row r="1" spans="1:7" x14ac:dyDescent="0.35">
      <c r="A1" s="14" t="s">
        <v>0</v>
      </c>
      <c r="B1" s="14" t="s">
        <v>20</v>
      </c>
      <c r="C1" s="14" t="s">
        <v>48</v>
      </c>
      <c r="D1" s="14" t="s">
        <v>49</v>
      </c>
      <c r="E1" s="14" t="s">
        <v>50</v>
      </c>
      <c r="F1" s="14" t="s">
        <v>51</v>
      </c>
      <c r="G1" s="14" t="s">
        <v>52</v>
      </c>
    </row>
    <row r="2" spans="1:7" x14ac:dyDescent="0.35">
      <c r="A2" s="11">
        <v>1</v>
      </c>
      <c r="B2" s="11" t="s">
        <v>26</v>
      </c>
      <c r="C2" s="11">
        <f>SUMIFS(Luong_theo_ban!D:D, Luong_theo_ban!A:A, A2, Luong_theo_ban!B:B, B2)</f>
        <v>6</v>
      </c>
      <c r="D2" s="12">
        <f>SUMIFS(Luong_theo_ban!G:G, Luong_theo_ban!A:A, A2, Luong_theo_ban!B:B, B2)</f>
        <v>64400000</v>
      </c>
      <c r="E2" s="11"/>
      <c r="F2" s="11"/>
      <c r="G2" s="11"/>
    </row>
    <row r="3" spans="1:7" x14ac:dyDescent="0.35">
      <c r="A3" s="11">
        <v>1</v>
      </c>
      <c r="B3" s="11" t="s">
        <v>31</v>
      </c>
      <c r="C3" s="11">
        <f>SUMIFS(Luong_theo_ban!D:D, Luong_theo_ban!A:A, A3, Luong_theo_ban!B:B, B3)</f>
        <v>9</v>
      </c>
      <c r="D3" s="12">
        <f>SUMIFS(Luong_theo_ban!G:G, Luong_theo_ban!A:A, A3, Luong_theo_ban!B:B, B3)</f>
        <v>72800000</v>
      </c>
      <c r="E3" s="11"/>
      <c r="F3" s="11"/>
      <c r="G3" s="11"/>
    </row>
    <row r="4" spans="1:7" x14ac:dyDescent="0.35">
      <c r="A4" s="11">
        <v>1</v>
      </c>
      <c r="B4" s="11" t="s">
        <v>35</v>
      </c>
      <c r="C4" s="11">
        <f>SUMIFS(Luong_theo_ban!D:D, Luong_theo_ban!A:A, A4, Luong_theo_ban!B:B, B4)</f>
        <v>1</v>
      </c>
      <c r="D4" s="12">
        <f>SUMIFS(Luong_theo_ban!G:G, Luong_theo_ban!A:A, A4, Luong_theo_ban!B:B, B4)</f>
        <v>10500000</v>
      </c>
      <c r="E4" s="11"/>
      <c r="F4" s="11"/>
      <c r="G4" s="11"/>
    </row>
    <row r="5" spans="1:7" x14ac:dyDescent="0.35">
      <c r="A5" s="11">
        <v>1</v>
      </c>
      <c r="B5" s="11" t="s">
        <v>36</v>
      </c>
      <c r="C5" s="11">
        <f>SUMIFS(Luong_theo_ban!D:D, Luong_theo_ban!A:A, A5, Luong_theo_ban!B:B, B5)</f>
        <v>4</v>
      </c>
      <c r="D5" s="12">
        <f>SUMIFS(Luong_theo_ban!G:G, Luong_theo_ban!A:A, A5, Luong_theo_ban!B:B, B5)</f>
        <v>62300000</v>
      </c>
      <c r="E5" s="11"/>
      <c r="F5" s="11"/>
      <c r="G5" s="11"/>
    </row>
    <row r="6" spans="1:7" x14ac:dyDescent="0.35">
      <c r="A6" s="11">
        <v>1</v>
      </c>
      <c r="B6" s="11" t="s">
        <v>40</v>
      </c>
      <c r="C6" s="11">
        <f>SUMIFS(Luong_theo_ban!D:D, Luong_theo_ban!A:A, A6, Luong_theo_ban!B:B, B6)</f>
        <v>6</v>
      </c>
      <c r="D6" s="12">
        <f>SUMIFS(Luong_theo_ban!G:G, Luong_theo_ban!A:A, A6, Luong_theo_ban!B:B, B6)</f>
        <v>56700000</v>
      </c>
      <c r="E6" s="11"/>
      <c r="F6" s="11"/>
      <c r="G6" s="11"/>
    </row>
    <row r="7" spans="1:7" x14ac:dyDescent="0.35">
      <c r="A7" s="2">
        <v>2</v>
      </c>
      <c r="B7" s="2" t="s">
        <v>26</v>
      </c>
      <c r="C7" s="2">
        <f>SUMIFS(Luong_theo_ban!D:D, Luong_theo_ban!A:A, A7, Luong_theo_ban!B:B, B7)</f>
        <v>6</v>
      </c>
      <c r="D7" s="3">
        <f>SUMIFS(Luong_theo_ban!G:G, Luong_theo_ban!A:A, A7, Luong_theo_ban!B:B, B7)</f>
        <v>64400000</v>
      </c>
      <c r="E7" s="9"/>
      <c r="F7" s="9"/>
      <c r="G7" s="9"/>
    </row>
    <row r="8" spans="1:7" x14ac:dyDescent="0.35">
      <c r="A8" s="2">
        <v>2</v>
      </c>
      <c r="B8" s="2" t="s">
        <v>31</v>
      </c>
      <c r="C8" s="2">
        <f>SUMIFS(Luong_theo_ban!D:D, Luong_theo_ban!A:A, A8, Luong_theo_ban!B:B, B8)</f>
        <v>10</v>
      </c>
      <c r="D8" s="3">
        <f>SUMIFS(Luong_theo_ban!G:G, Luong_theo_ban!A:A, A8, Luong_theo_ban!B:B, B8)</f>
        <v>79800000</v>
      </c>
      <c r="E8" s="9"/>
      <c r="F8" s="9"/>
      <c r="G8" s="9"/>
    </row>
    <row r="9" spans="1:7" x14ac:dyDescent="0.35">
      <c r="A9" s="2">
        <v>2</v>
      </c>
      <c r="B9" s="2" t="s">
        <v>35</v>
      </c>
      <c r="C9" s="2">
        <f>SUMIFS(Luong_theo_ban!D:D, Luong_theo_ban!A:A, A9, Luong_theo_ban!B:B, B9)</f>
        <v>1</v>
      </c>
      <c r="D9" s="3">
        <f>SUMIFS(Luong_theo_ban!G:G, Luong_theo_ban!A:A, A9, Luong_theo_ban!B:B, B9)</f>
        <v>10500000</v>
      </c>
      <c r="E9" s="9"/>
      <c r="F9" s="9"/>
      <c r="G9" s="9"/>
    </row>
    <row r="10" spans="1:7" x14ac:dyDescent="0.35">
      <c r="A10" s="2">
        <v>2</v>
      </c>
      <c r="B10" s="2" t="s">
        <v>36</v>
      </c>
      <c r="C10" s="2">
        <f>SUMIFS(Luong_theo_ban!D:D, Luong_theo_ban!A:A, A10, Luong_theo_ban!B:B, B10)</f>
        <v>4</v>
      </c>
      <c r="D10" s="3">
        <f>SUMIFS(Luong_theo_ban!G:G, Luong_theo_ban!A:A, A10, Luong_theo_ban!B:B, B10)</f>
        <v>62300000</v>
      </c>
      <c r="E10" s="9"/>
      <c r="F10" s="9"/>
      <c r="G10" s="9"/>
    </row>
    <row r="11" spans="1:7" x14ac:dyDescent="0.35">
      <c r="A11" s="2">
        <v>2</v>
      </c>
      <c r="B11" s="2" t="s">
        <v>40</v>
      </c>
      <c r="C11" s="2">
        <f>SUMIFS(Luong_theo_ban!D:D, Luong_theo_ban!A:A, A11, Luong_theo_ban!B:B, B11)</f>
        <v>6</v>
      </c>
      <c r="D11" s="3">
        <f>SUMIFS(Luong_theo_ban!G:G, Luong_theo_ban!A:A, A11, Luong_theo_ban!B:B, B11)</f>
        <v>56700000</v>
      </c>
      <c r="E11" s="9"/>
      <c r="F11" s="9"/>
      <c r="G11" s="9"/>
    </row>
    <row r="12" spans="1:7" x14ac:dyDescent="0.35">
      <c r="A12" s="11">
        <v>3</v>
      </c>
      <c r="B12" s="11" t="s">
        <v>26</v>
      </c>
      <c r="C12" s="11">
        <f>SUMIFS(Luong_theo_ban!D:D, Luong_theo_ban!A:A, A12, Luong_theo_ban!B:B, B12)</f>
        <v>6</v>
      </c>
      <c r="D12" s="12">
        <f>SUMIFS(Luong_theo_ban!G:G, Luong_theo_ban!A:A, A12, Luong_theo_ban!B:B, B12)</f>
        <v>64400000</v>
      </c>
      <c r="E12" s="11"/>
      <c r="F12" s="11"/>
      <c r="G12" s="11"/>
    </row>
    <row r="13" spans="1:7" x14ac:dyDescent="0.35">
      <c r="A13" s="11">
        <v>3</v>
      </c>
      <c r="B13" s="11" t="s">
        <v>31</v>
      </c>
      <c r="C13" s="11">
        <f>SUMIFS(Luong_theo_ban!D:D, Luong_theo_ban!A:A, A13, Luong_theo_ban!B:B, B13)</f>
        <v>11</v>
      </c>
      <c r="D13" s="12">
        <f>SUMIFS(Luong_theo_ban!G:G, Luong_theo_ban!A:A, A13, Luong_theo_ban!B:B, B13)</f>
        <v>86800000</v>
      </c>
      <c r="E13" s="11"/>
      <c r="F13" s="11"/>
      <c r="G13" s="11"/>
    </row>
    <row r="14" spans="1:7" x14ac:dyDescent="0.35">
      <c r="A14" s="11">
        <v>3</v>
      </c>
      <c r="B14" s="11" t="s">
        <v>35</v>
      </c>
      <c r="C14" s="11">
        <f>SUMIFS(Luong_theo_ban!D:D, Luong_theo_ban!A:A, A14, Luong_theo_ban!B:B, B14)</f>
        <v>1</v>
      </c>
      <c r="D14" s="12">
        <f>SUMIFS(Luong_theo_ban!G:G, Luong_theo_ban!A:A, A14, Luong_theo_ban!B:B, B14)</f>
        <v>10500000</v>
      </c>
      <c r="E14" s="11"/>
      <c r="F14" s="11"/>
      <c r="G14" s="11"/>
    </row>
    <row r="15" spans="1:7" x14ac:dyDescent="0.35">
      <c r="A15" s="11">
        <v>3</v>
      </c>
      <c r="B15" s="11" t="s">
        <v>36</v>
      </c>
      <c r="C15" s="11">
        <f>SUMIFS(Luong_theo_ban!D:D, Luong_theo_ban!A:A, A15, Luong_theo_ban!B:B, B15)</f>
        <v>4</v>
      </c>
      <c r="D15" s="12">
        <f>SUMIFS(Luong_theo_ban!G:G, Luong_theo_ban!A:A, A15, Luong_theo_ban!B:B, B15)</f>
        <v>62300000</v>
      </c>
      <c r="E15" s="11"/>
      <c r="F15" s="11"/>
      <c r="G15" s="11"/>
    </row>
    <row r="16" spans="1:7" x14ac:dyDescent="0.35">
      <c r="A16" s="11">
        <v>3</v>
      </c>
      <c r="B16" s="11" t="s">
        <v>40</v>
      </c>
      <c r="C16" s="11">
        <f>SUMIFS(Luong_theo_ban!D:D, Luong_theo_ban!A:A, A16, Luong_theo_ban!B:B, B16)</f>
        <v>6</v>
      </c>
      <c r="D16" s="12">
        <f>SUMIFS(Luong_theo_ban!G:G, Luong_theo_ban!A:A, A16, Luong_theo_ban!B:B, B16)</f>
        <v>56700000</v>
      </c>
      <c r="E16" s="11"/>
      <c r="F16" s="11"/>
      <c r="G16" s="11"/>
    </row>
    <row r="17" spans="1:7" x14ac:dyDescent="0.35">
      <c r="A17" s="2">
        <v>4</v>
      </c>
      <c r="B17" s="2" t="s">
        <v>26</v>
      </c>
      <c r="C17" s="2">
        <f>SUMIFS(Luong_theo_ban!D:D, Luong_theo_ban!A:A, A17, Luong_theo_ban!B:B, B17)</f>
        <v>6</v>
      </c>
      <c r="D17" s="3">
        <f>SUMIFS(Luong_theo_ban!G:G, Luong_theo_ban!A:A, A17, Luong_theo_ban!B:B, B17)</f>
        <v>64400000</v>
      </c>
      <c r="E17" s="9"/>
      <c r="F17" s="9"/>
      <c r="G17" s="9"/>
    </row>
    <row r="18" spans="1:7" x14ac:dyDescent="0.35">
      <c r="A18" s="2">
        <v>4</v>
      </c>
      <c r="B18" s="2" t="s">
        <v>31</v>
      </c>
      <c r="C18" s="2">
        <f>SUMIFS(Luong_theo_ban!D:D, Luong_theo_ban!A:A, A18, Luong_theo_ban!B:B, B18)</f>
        <v>12</v>
      </c>
      <c r="D18" s="3">
        <f>SUMIFS(Luong_theo_ban!G:G, Luong_theo_ban!A:A, A18, Luong_theo_ban!B:B, B18)</f>
        <v>93800000</v>
      </c>
      <c r="E18" s="9"/>
      <c r="F18" s="9"/>
      <c r="G18" s="9"/>
    </row>
    <row r="19" spans="1:7" x14ac:dyDescent="0.35">
      <c r="A19" s="2">
        <v>4</v>
      </c>
      <c r="B19" s="2" t="s">
        <v>35</v>
      </c>
      <c r="C19" s="2">
        <f>SUMIFS(Luong_theo_ban!D:D, Luong_theo_ban!A:A, A19, Luong_theo_ban!B:B, B19)</f>
        <v>1</v>
      </c>
      <c r="D19" s="3">
        <f>SUMIFS(Luong_theo_ban!G:G, Luong_theo_ban!A:A, A19, Luong_theo_ban!B:B, B19)</f>
        <v>10500000</v>
      </c>
      <c r="E19" s="9"/>
      <c r="F19" s="9"/>
      <c r="G19" s="9"/>
    </row>
    <row r="20" spans="1:7" x14ac:dyDescent="0.35">
      <c r="A20" s="2">
        <v>4</v>
      </c>
      <c r="B20" s="2" t="s">
        <v>36</v>
      </c>
      <c r="C20" s="2">
        <f>SUMIFS(Luong_theo_ban!D:D, Luong_theo_ban!A:A, A20, Luong_theo_ban!B:B, B20)</f>
        <v>4</v>
      </c>
      <c r="D20" s="3">
        <f>SUMIFS(Luong_theo_ban!G:G, Luong_theo_ban!A:A, A20, Luong_theo_ban!B:B, B20)</f>
        <v>62300000</v>
      </c>
      <c r="E20" s="9"/>
      <c r="F20" s="9"/>
      <c r="G20" s="9"/>
    </row>
    <row r="21" spans="1:7" x14ac:dyDescent="0.35">
      <c r="A21" s="2">
        <v>4</v>
      </c>
      <c r="B21" s="2" t="s">
        <v>40</v>
      </c>
      <c r="C21" s="2">
        <f>SUMIFS(Luong_theo_ban!D:D, Luong_theo_ban!A:A, A21, Luong_theo_ban!B:B, B21)</f>
        <v>6</v>
      </c>
      <c r="D21" s="3">
        <f>SUMIFS(Luong_theo_ban!G:G, Luong_theo_ban!A:A, A21, Luong_theo_ban!B:B, B21)</f>
        <v>56700000</v>
      </c>
      <c r="E21" s="9"/>
      <c r="F21" s="9"/>
      <c r="G21" s="9"/>
    </row>
    <row r="22" spans="1:7" x14ac:dyDescent="0.35">
      <c r="A22" s="11">
        <v>5</v>
      </c>
      <c r="B22" s="11" t="s">
        <v>26</v>
      </c>
      <c r="C22" s="11">
        <f>SUMIFS(Luong_theo_ban!D:D, Luong_theo_ban!A:A, A22, Luong_theo_ban!B:B, B22)</f>
        <v>6</v>
      </c>
      <c r="D22" s="12">
        <f>SUMIFS(Luong_theo_ban!G:G, Luong_theo_ban!A:A, A22, Luong_theo_ban!B:B, B22)</f>
        <v>64400000</v>
      </c>
      <c r="E22" s="11"/>
      <c r="F22" s="11"/>
      <c r="G22" s="11"/>
    </row>
    <row r="23" spans="1:7" x14ac:dyDescent="0.35">
      <c r="A23" s="11">
        <v>5</v>
      </c>
      <c r="B23" s="11" t="s">
        <v>31</v>
      </c>
      <c r="C23" s="11">
        <f>SUMIFS(Luong_theo_ban!D:D, Luong_theo_ban!A:A, A23, Luong_theo_ban!B:B, B23)</f>
        <v>13</v>
      </c>
      <c r="D23" s="12">
        <f>SUMIFS(Luong_theo_ban!G:G, Luong_theo_ban!A:A, A23, Luong_theo_ban!B:B, B23)</f>
        <v>100800000</v>
      </c>
      <c r="E23" s="11"/>
      <c r="F23" s="11"/>
      <c r="G23" s="11"/>
    </row>
    <row r="24" spans="1:7" x14ac:dyDescent="0.35">
      <c r="A24" s="11">
        <v>5</v>
      </c>
      <c r="B24" s="11" t="s">
        <v>35</v>
      </c>
      <c r="C24" s="11">
        <f>SUMIFS(Luong_theo_ban!D:D, Luong_theo_ban!A:A, A24, Luong_theo_ban!B:B, B24)</f>
        <v>1</v>
      </c>
      <c r="D24" s="12">
        <f>SUMIFS(Luong_theo_ban!G:G, Luong_theo_ban!A:A, A24, Luong_theo_ban!B:B, B24)</f>
        <v>10500000</v>
      </c>
      <c r="E24" s="11"/>
      <c r="F24" s="11"/>
      <c r="G24" s="11"/>
    </row>
    <row r="25" spans="1:7" x14ac:dyDescent="0.35">
      <c r="A25" s="11">
        <v>5</v>
      </c>
      <c r="B25" s="11" t="s">
        <v>36</v>
      </c>
      <c r="C25" s="11">
        <f>SUMIFS(Luong_theo_ban!D:D, Luong_theo_ban!A:A, A25, Luong_theo_ban!B:B, B25)</f>
        <v>4</v>
      </c>
      <c r="D25" s="12">
        <f>SUMIFS(Luong_theo_ban!G:G, Luong_theo_ban!A:A, A25, Luong_theo_ban!B:B, B25)</f>
        <v>62300000</v>
      </c>
      <c r="E25" s="11"/>
      <c r="F25" s="11"/>
      <c r="G25" s="11"/>
    </row>
    <row r="26" spans="1:7" x14ac:dyDescent="0.35">
      <c r="A26" s="11">
        <v>5</v>
      </c>
      <c r="B26" s="11" t="s">
        <v>40</v>
      </c>
      <c r="C26" s="11">
        <f>SUMIFS(Luong_theo_ban!D:D, Luong_theo_ban!A:A, A26, Luong_theo_ban!B:B, B26)</f>
        <v>6</v>
      </c>
      <c r="D26" s="12">
        <f>SUMIFS(Luong_theo_ban!G:G, Luong_theo_ban!A:A, A26, Luong_theo_ban!B:B, B26)</f>
        <v>56700000</v>
      </c>
      <c r="E26" s="11"/>
      <c r="F26" s="11"/>
      <c r="G26" s="11"/>
    </row>
    <row r="27" spans="1:7" x14ac:dyDescent="0.35">
      <c r="A27" s="2">
        <v>6</v>
      </c>
      <c r="B27" s="2" t="s">
        <v>26</v>
      </c>
      <c r="C27" s="2">
        <f>SUMIFS(Luong_theo_ban!D:D, Luong_theo_ban!A:A, A27, Luong_theo_ban!B:B, B27)</f>
        <v>6</v>
      </c>
      <c r="D27" s="3">
        <f>SUMIFS(Luong_theo_ban!G:G, Luong_theo_ban!A:A, A27, Luong_theo_ban!B:B, B27)</f>
        <v>64400000</v>
      </c>
      <c r="E27" s="9"/>
      <c r="F27" s="9"/>
      <c r="G27" s="9"/>
    </row>
    <row r="28" spans="1:7" x14ac:dyDescent="0.35">
      <c r="A28" s="2">
        <v>6</v>
      </c>
      <c r="B28" s="2" t="s">
        <v>31</v>
      </c>
      <c r="C28" s="2">
        <f>SUMIFS(Luong_theo_ban!D:D, Luong_theo_ban!A:A, A28, Luong_theo_ban!B:B, B28)</f>
        <v>14</v>
      </c>
      <c r="D28" s="3">
        <f>SUMIFS(Luong_theo_ban!G:G, Luong_theo_ban!A:A, A28, Luong_theo_ban!B:B, B28)</f>
        <v>107800000</v>
      </c>
      <c r="E28" s="9"/>
      <c r="F28" s="9"/>
      <c r="G28" s="9"/>
    </row>
    <row r="29" spans="1:7" x14ac:dyDescent="0.35">
      <c r="A29" s="2">
        <v>6</v>
      </c>
      <c r="B29" s="2" t="s">
        <v>35</v>
      </c>
      <c r="C29" s="2">
        <f>SUMIFS(Luong_theo_ban!D:D, Luong_theo_ban!A:A, A29, Luong_theo_ban!B:B, B29)</f>
        <v>1</v>
      </c>
      <c r="D29" s="3">
        <f>SUMIFS(Luong_theo_ban!G:G, Luong_theo_ban!A:A, A29, Luong_theo_ban!B:B, B29)</f>
        <v>10500000</v>
      </c>
      <c r="E29" s="9"/>
      <c r="F29" s="9"/>
      <c r="G29" s="9"/>
    </row>
    <row r="30" spans="1:7" x14ac:dyDescent="0.35">
      <c r="A30" s="2">
        <v>6</v>
      </c>
      <c r="B30" s="2" t="s">
        <v>36</v>
      </c>
      <c r="C30" s="2">
        <f>SUMIFS(Luong_theo_ban!D:D, Luong_theo_ban!A:A, A30, Luong_theo_ban!B:B, B30)</f>
        <v>4</v>
      </c>
      <c r="D30" s="3">
        <f>SUMIFS(Luong_theo_ban!G:G, Luong_theo_ban!A:A, A30, Luong_theo_ban!B:B, B30)</f>
        <v>62300000</v>
      </c>
      <c r="E30" s="9"/>
      <c r="F30" s="9"/>
      <c r="G30" s="9"/>
    </row>
    <row r="31" spans="1:7" x14ac:dyDescent="0.35">
      <c r="A31" s="2">
        <v>6</v>
      </c>
      <c r="B31" s="2" t="s">
        <v>40</v>
      </c>
      <c r="C31" s="2">
        <f>SUMIFS(Luong_theo_ban!D:D, Luong_theo_ban!A:A, A31, Luong_theo_ban!B:B, B31)</f>
        <v>6</v>
      </c>
      <c r="D31" s="3">
        <f>SUMIFS(Luong_theo_ban!G:G, Luong_theo_ban!A:A, A31, Luong_theo_ban!B:B, B31)</f>
        <v>56700000</v>
      </c>
      <c r="E31" s="9"/>
      <c r="F31" s="9"/>
      <c r="G31" s="9"/>
    </row>
    <row r="32" spans="1:7" x14ac:dyDescent="0.35">
      <c r="A32" s="11">
        <v>7</v>
      </c>
      <c r="B32" s="11" t="s">
        <v>26</v>
      </c>
      <c r="C32" s="11">
        <f>SUMIFS(Luong_theo_ban!D:D, Luong_theo_ban!A:A, A32, Luong_theo_ban!B:B, B32)</f>
        <v>6</v>
      </c>
      <c r="D32" s="12">
        <f>SUMIFS(Luong_theo_ban!G:G, Luong_theo_ban!A:A, A32, Luong_theo_ban!B:B, B32)</f>
        <v>64400000</v>
      </c>
      <c r="E32" s="11"/>
      <c r="F32" s="11"/>
      <c r="G32" s="11"/>
    </row>
    <row r="33" spans="1:7" x14ac:dyDescent="0.35">
      <c r="A33" s="11">
        <v>7</v>
      </c>
      <c r="B33" s="11" t="s">
        <v>31</v>
      </c>
      <c r="C33" s="11">
        <f>SUMIFS(Luong_theo_ban!D:D, Luong_theo_ban!A:A, A33, Luong_theo_ban!B:B, B33)</f>
        <v>15</v>
      </c>
      <c r="D33" s="12">
        <f>SUMIFS(Luong_theo_ban!G:G, Luong_theo_ban!A:A, A33, Luong_theo_ban!B:B, B33)</f>
        <v>114800000</v>
      </c>
      <c r="E33" s="11"/>
      <c r="F33" s="11"/>
      <c r="G33" s="11"/>
    </row>
    <row r="34" spans="1:7" x14ac:dyDescent="0.35">
      <c r="A34" s="11">
        <v>7</v>
      </c>
      <c r="B34" s="11" t="s">
        <v>35</v>
      </c>
      <c r="C34" s="11">
        <f>SUMIFS(Luong_theo_ban!D:D, Luong_theo_ban!A:A, A34, Luong_theo_ban!B:B, B34)</f>
        <v>1</v>
      </c>
      <c r="D34" s="12">
        <f>SUMIFS(Luong_theo_ban!G:G, Luong_theo_ban!A:A, A34, Luong_theo_ban!B:B, B34)</f>
        <v>10500000</v>
      </c>
      <c r="E34" s="11"/>
      <c r="F34" s="11"/>
      <c r="G34" s="11"/>
    </row>
    <row r="35" spans="1:7" x14ac:dyDescent="0.35">
      <c r="A35" s="11">
        <v>7</v>
      </c>
      <c r="B35" s="11" t="s">
        <v>36</v>
      </c>
      <c r="C35" s="11">
        <f>SUMIFS(Luong_theo_ban!D:D, Luong_theo_ban!A:A, A35, Luong_theo_ban!B:B, B35)</f>
        <v>4</v>
      </c>
      <c r="D35" s="12">
        <f>SUMIFS(Luong_theo_ban!G:G, Luong_theo_ban!A:A, A35, Luong_theo_ban!B:B, B35)</f>
        <v>62300000</v>
      </c>
      <c r="E35" s="11"/>
      <c r="F35" s="11"/>
      <c r="G35" s="11"/>
    </row>
    <row r="36" spans="1:7" x14ac:dyDescent="0.35">
      <c r="A36" s="11">
        <v>7</v>
      </c>
      <c r="B36" s="11" t="s">
        <v>40</v>
      </c>
      <c r="C36" s="11">
        <f>SUMIFS(Luong_theo_ban!D:D, Luong_theo_ban!A:A, A36, Luong_theo_ban!B:B, B36)</f>
        <v>6</v>
      </c>
      <c r="D36" s="12">
        <f>SUMIFS(Luong_theo_ban!G:G, Luong_theo_ban!A:A, A36, Luong_theo_ban!B:B, B36)</f>
        <v>56700000</v>
      </c>
      <c r="E36" s="11"/>
      <c r="F36" s="11"/>
      <c r="G36" s="11"/>
    </row>
    <row r="37" spans="1:7" x14ac:dyDescent="0.35">
      <c r="A37" s="2">
        <v>8</v>
      </c>
      <c r="B37" s="2" t="s">
        <v>26</v>
      </c>
      <c r="C37" s="2">
        <f>SUMIFS(Luong_theo_ban!D:D, Luong_theo_ban!A:A, A37, Luong_theo_ban!B:B, B37)</f>
        <v>6</v>
      </c>
      <c r="D37" s="3">
        <f>SUMIFS(Luong_theo_ban!G:G, Luong_theo_ban!A:A, A37, Luong_theo_ban!B:B, B37)</f>
        <v>64400000</v>
      </c>
      <c r="E37" s="9"/>
      <c r="F37" s="9"/>
      <c r="G37" s="9"/>
    </row>
    <row r="38" spans="1:7" x14ac:dyDescent="0.35">
      <c r="A38" s="2">
        <v>8</v>
      </c>
      <c r="B38" s="2" t="s">
        <v>31</v>
      </c>
      <c r="C38" s="2">
        <f>SUMIFS(Luong_theo_ban!D:D, Luong_theo_ban!A:A, A38, Luong_theo_ban!B:B, B38)</f>
        <v>16</v>
      </c>
      <c r="D38" s="3">
        <f>SUMIFS(Luong_theo_ban!G:G, Luong_theo_ban!A:A, A38, Luong_theo_ban!B:B, B38)</f>
        <v>121800000</v>
      </c>
      <c r="E38" s="9"/>
      <c r="F38" s="9"/>
      <c r="G38" s="9"/>
    </row>
    <row r="39" spans="1:7" x14ac:dyDescent="0.35">
      <c r="A39" s="2">
        <v>8</v>
      </c>
      <c r="B39" s="2" t="s">
        <v>35</v>
      </c>
      <c r="C39" s="2">
        <f>SUMIFS(Luong_theo_ban!D:D, Luong_theo_ban!A:A, A39, Luong_theo_ban!B:B, B39)</f>
        <v>1</v>
      </c>
      <c r="D39" s="3">
        <f>SUMIFS(Luong_theo_ban!G:G, Luong_theo_ban!A:A, A39, Luong_theo_ban!B:B, B39)</f>
        <v>10500000</v>
      </c>
      <c r="E39" s="9"/>
      <c r="F39" s="9"/>
      <c r="G39" s="9"/>
    </row>
    <row r="40" spans="1:7" x14ac:dyDescent="0.35">
      <c r="A40" s="2">
        <v>8</v>
      </c>
      <c r="B40" s="2" t="s">
        <v>36</v>
      </c>
      <c r="C40" s="2">
        <f>SUMIFS(Luong_theo_ban!D:D, Luong_theo_ban!A:A, A40, Luong_theo_ban!B:B, B40)</f>
        <v>4</v>
      </c>
      <c r="D40" s="3">
        <f>SUMIFS(Luong_theo_ban!G:G, Luong_theo_ban!A:A, A40, Luong_theo_ban!B:B, B40)</f>
        <v>62300000</v>
      </c>
      <c r="E40" s="9"/>
      <c r="F40" s="9"/>
      <c r="G40" s="9"/>
    </row>
    <row r="41" spans="1:7" x14ac:dyDescent="0.35">
      <c r="A41" s="2">
        <v>8</v>
      </c>
      <c r="B41" s="2" t="s">
        <v>40</v>
      </c>
      <c r="C41" s="2">
        <f>SUMIFS(Luong_theo_ban!D:D, Luong_theo_ban!A:A, A41, Luong_theo_ban!B:B, B41)</f>
        <v>6</v>
      </c>
      <c r="D41" s="3">
        <f>SUMIFS(Luong_theo_ban!G:G, Luong_theo_ban!A:A, A41, Luong_theo_ban!B:B, B41)</f>
        <v>56700000</v>
      </c>
      <c r="E41" s="9"/>
      <c r="F41" s="9"/>
      <c r="G41" s="9"/>
    </row>
    <row r="42" spans="1:7" x14ac:dyDescent="0.35">
      <c r="A42" s="11">
        <v>9</v>
      </c>
      <c r="B42" s="11" t="s">
        <v>26</v>
      </c>
      <c r="C42" s="11">
        <f>SUMIFS(Luong_theo_ban!D:D, Luong_theo_ban!A:A, A42, Luong_theo_ban!B:B, B42)</f>
        <v>6</v>
      </c>
      <c r="D42" s="12">
        <f>SUMIFS(Luong_theo_ban!G:G, Luong_theo_ban!A:A, A42, Luong_theo_ban!B:B, B42)</f>
        <v>64400000</v>
      </c>
      <c r="E42" s="11"/>
      <c r="F42" s="11"/>
      <c r="G42" s="11"/>
    </row>
    <row r="43" spans="1:7" x14ac:dyDescent="0.35">
      <c r="A43" s="11">
        <v>9</v>
      </c>
      <c r="B43" s="11" t="s">
        <v>31</v>
      </c>
      <c r="C43" s="11">
        <f>SUMIFS(Luong_theo_ban!D:D, Luong_theo_ban!A:A, A43, Luong_theo_ban!B:B, B43)</f>
        <v>17</v>
      </c>
      <c r="D43" s="12">
        <f>SUMIFS(Luong_theo_ban!G:G, Luong_theo_ban!A:A, A43, Luong_theo_ban!B:B, B43)</f>
        <v>128800000</v>
      </c>
      <c r="E43" s="11"/>
      <c r="F43" s="11"/>
      <c r="G43" s="11"/>
    </row>
    <row r="44" spans="1:7" x14ac:dyDescent="0.35">
      <c r="A44" s="11">
        <v>9</v>
      </c>
      <c r="B44" s="11" t="s">
        <v>35</v>
      </c>
      <c r="C44" s="11">
        <f>SUMIFS(Luong_theo_ban!D:D, Luong_theo_ban!A:A, A44, Luong_theo_ban!B:B, B44)</f>
        <v>1</v>
      </c>
      <c r="D44" s="12">
        <f>SUMIFS(Luong_theo_ban!G:G, Luong_theo_ban!A:A, A44, Luong_theo_ban!B:B, B44)</f>
        <v>10500000</v>
      </c>
      <c r="E44" s="11"/>
      <c r="F44" s="11"/>
      <c r="G44" s="11"/>
    </row>
    <row r="45" spans="1:7" x14ac:dyDescent="0.35">
      <c r="A45" s="11">
        <v>9</v>
      </c>
      <c r="B45" s="11" t="s">
        <v>36</v>
      </c>
      <c r="C45" s="11">
        <f>SUMIFS(Luong_theo_ban!D:D, Luong_theo_ban!A:A, A45, Luong_theo_ban!B:B, B45)</f>
        <v>4</v>
      </c>
      <c r="D45" s="12">
        <f>SUMIFS(Luong_theo_ban!G:G, Luong_theo_ban!A:A, A45, Luong_theo_ban!B:B, B45)</f>
        <v>62300000</v>
      </c>
      <c r="E45" s="11"/>
      <c r="F45" s="11"/>
      <c r="G45" s="11"/>
    </row>
    <row r="46" spans="1:7" x14ac:dyDescent="0.35">
      <c r="A46" s="11">
        <v>9</v>
      </c>
      <c r="B46" s="11" t="s">
        <v>40</v>
      </c>
      <c r="C46" s="11">
        <f>SUMIFS(Luong_theo_ban!D:D, Luong_theo_ban!A:A, A46, Luong_theo_ban!B:B, B46)</f>
        <v>6</v>
      </c>
      <c r="D46" s="12">
        <f>SUMIFS(Luong_theo_ban!G:G, Luong_theo_ban!A:A, A46, Luong_theo_ban!B:B, B46)</f>
        <v>56700000</v>
      </c>
      <c r="E46" s="11"/>
      <c r="F46" s="11"/>
      <c r="G46" s="11"/>
    </row>
    <row r="47" spans="1:7" x14ac:dyDescent="0.35">
      <c r="A47" s="2">
        <v>10</v>
      </c>
      <c r="B47" s="2" t="s">
        <v>26</v>
      </c>
      <c r="C47" s="2">
        <f>SUMIFS(Luong_theo_ban!D:D, Luong_theo_ban!A:A, A47, Luong_theo_ban!B:B, B47)</f>
        <v>6</v>
      </c>
      <c r="D47" s="3">
        <f>SUMIFS(Luong_theo_ban!G:G, Luong_theo_ban!A:A, A47, Luong_theo_ban!B:B, B47)</f>
        <v>64400000</v>
      </c>
      <c r="E47" s="9"/>
      <c r="F47" s="9"/>
      <c r="G47" s="9"/>
    </row>
    <row r="48" spans="1:7" x14ac:dyDescent="0.35">
      <c r="A48" s="2">
        <v>10</v>
      </c>
      <c r="B48" s="2" t="s">
        <v>31</v>
      </c>
      <c r="C48" s="2">
        <f>SUMIFS(Luong_theo_ban!D:D, Luong_theo_ban!A:A, A48, Luong_theo_ban!B:B, B48)</f>
        <v>18</v>
      </c>
      <c r="D48" s="3">
        <f>SUMIFS(Luong_theo_ban!G:G, Luong_theo_ban!A:A, A48, Luong_theo_ban!B:B, B48)</f>
        <v>135800000</v>
      </c>
      <c r="E48" s="9"/>
      <c r="F48" s="9"/>
      <c r="G48" s="9"/>
    </row>
    <row r="49" spans="1:7" x14ac:dyDescent="0.35">
      <c r="A49" s="2">
        <v>10</v>
      </c>
      <c r="B49" s="2" t="s">
        <v>35</v>
      </c>
      <c r="C49" s="2">
        <f>SUMIFS(Luong_theo_ban!D:D, Luong_theo_ban!A:A, A49, Luong_theo_ban!B:B, B49)</f>
        <v>1</v>
      </c>
      <c r="D49" s="3">
        <f>SUMIFS(Luong_theo_ban!G:G, Luong_theo_ban!A:A, A49, Luong_theo_ban!B:B, B49)</f>
        <v>10500000</v>
      </c>
      <c r="E49" s="9"/>
      <c r="F49" s="9"/>
      <c r="G49" s="9"/>
    </row>
    <row r="50" spans="1:7" x14ac:dyDescent="0.35">
      <c r="A50" s="2">
        <v>10</v>
      </c>
      <c r="B50" s="2" t="s">
        <v>36</v>
      </c>
      <c r="C50" s="2">
        <f>SUMIFS(Luong_theo_ban!D:D, Luong_theo_ban!A:A, A50, Luong_theo_ban!B:B, B50)</f>
        <v>4</v>
      </c>
      <c r="D50" s="3">
        <f>SUMIFS(Luong_theo_ban!G:G, Luong_theo_ban!A:A, A50, Luong_theo_ban!B:B, B50)</f>
        <v>62300000</v>
      </c>
      <c r="E50" s="9"/>
      <c r="F50" s="9"/>
      <c r="G50" s="9"/>
    </row>
    <row r="51" spans="1:7" x14ac:dyDescent="0.35">
      <c r="A51" s="2">
        <v>10</v>
      </c>
      <c r="B51" s="2" t="s">
        <v>40</v>
      </c>
      <c r="C51" s="2">
        <f>SUMIFS(Luong_theo_ban!D:D, Luong_theo_ban!A:A, A51, Luong_theo_ban!B:B, B51)</f>
        <v>6</v>
      </c>
      <c r="D51" s="3">
        <f>SUMIFS(Luong_theo_ban!G:G, Luong_theo_ban!A:A, A51, Luong_theo_ban!B:B, B51)</f>
        <v>56700000</v>
      </c>
      <c r="E51" s="9"/>
      <c r="F51" s="9"/>
      <c r="G51" s="9"/>
    </row>
    <row r="52" spans="1:7" x14ac:dyDescent="0.35">
      <c r="A52" s="11">
        <v>11</v>
      </c>
      <c r="B52" s="11" t="s">
        <v>26</v>
      </c>
      <c r="C52" s="11">
        <f>SUMIFS(Luong_theo_ban!D:D, Luong_theo_ban!A:A, A52, Luong_theo_ban!B:B, B52)</f>
        <v>6</v>
      </c>
      <c r="D52" s="12">
        <f>SUMIFS(Luong_theo_ban!G:G, Luong_theo_ban!A:A, A52, Luong_theo_ban!B:B, B52)</f>
        <v>64400000</v>
      </c>
      <c r="E52" s="11"/>
      <c r="F52" s="11"/>
      <c r="G52" s="11"/>
    </row>
    <row r="53" spans="1:7" x14ac:dyDescent="0.35">
      <c r="A53" s="11">
        <v>11</v>
      </c>
      <c r="B53" s="11" t="s">
        <v>31</v>
      </c>
      <c r="C53" s="11">
        <f>SUMIFS(Luong_theo_ban!D:D, Luong_theo_ban!A:A, A53, Luong_theo_ban!B:B, B53)</f>
        <v>19</v>
      </c>
      <c r="D53" s="12">
        <f>SUMIFS(Luong_theo_ban!G:G, Luong_theo_ban!A:A, A53, Luong_theo_ban!B:B, B53)</f>
        <v>142800000</v>
      </c>
      <c r="E53" s="11"/>
      <c r="F53" s="11"/>
      <c r="G53" s="11"/>
    </row>
    <row r="54" spans="1:7" x14ac:dyDescent="0.35">
      <c r="A54" s="11">
        <v>11</v>
      </c>
      <c r="B54" s="11" t="s">
        <v>35</v>
      </c>
      <c r="C54" s="11">
        <f>SUMIFS(Luong_theo_ban!D:D, Luong_theo_ban!A:A, A54, Luong_theo_ban!B:B, B54)</f>
        <v>1</v>
      </c>
      <c r="D54" s="12">
        <f>SUMIFS(Luong_theo_ban!G:G, Luong_theo_ban!A:A, A54, Luong_theo_ban!B:B, B54)</f>
        <v>10500000</v>
      </c>
      <c r="E54" s="11"/>
      <c r="F54" s="11"/>
      <c r="G54" s="11"/>
    </row>
    <row r="55" spans="1:7" x14ac:dyDescent="0.35">
      <c r="A55" s="11">
        <v>11</v>
      </c>
      <c r="B55" s="11" t="s">
        <v>36</v>
      </c>
      <c r="C55" s="11">
        <f>SUMIFS(Luong_theo_ban!D:D, Luong_theo_ban!A:A, A55, Luong_theo_ban!B:B, B55)</f>
        <v>4</v>
      </c>
      <c r="D55" s="12">
        <f>SUMIFS(Luong_theo_ban!G:G, Luong_theo_ban!A:A, A55, Luong_theo_ban!B:B, B55)</f>
        <v>62300000</v>
      </c>
      <c r="E55" s="11"/>
      <c r="F55" s="11"/>
      <c r="G55" s="11"/>
    </row>
    <row r="56" spans="1:7" x14ac:dyDescent="0.35">
      <c r="A56" s="11">
        <v>11</v>
      </c>
      <c r="B56" s="11" t="s">
        <v>40</v>
      </c>
      <c r="C56" s="11">
        <f>SUMIFS(Luong_theo_ban!D:D, Luong_theo_ban!A:A, A56, Luong_theo_ban!B:B, B56)</f>
        <v>6</v>
      </c>
      <c r="D56" s="12">
        <f>SUMIFS(Luong_theo_ban!G:G, Luong_theo_ban!A:A, A56, Luong_theo_ban!B:B, B56)</f>
        <v>56700000</v>
      </c>
      <c r="E56" s="11"/>
      <c r="F56" s="11"/>
      <c r="G56" s="11"/>
    </row>
    <row r="57" spans="1:7" x14ac:dyDescent="0.35">
      <c r="A57" s="2">
        <v>12</v>
      </c>
      <c r="B57" s="2" t="s">
        <v>26</v>
      </c>
      <c r="C57" s="2">
        <f>SUMIFS(Luong_theo_ban!D:D, Luong_theo_ban!A:A, A57, Luong_theo_ban!B:B, B57)</f>
        <v>6</v>
      </c>
      <c r="D57" s="3">
        <f>SUMIFS(Luong_theo_ban!G:G, Luong_theo_ban!A:A, A57, Luong_theo_ban!B:B, B57)</f>
        <v>64400000</v>
      </c>
      <c r="E57" s="9"/>
      <c r="F57" s="9"/>
      <c r="G57" s="9"/>
    </row>
    <row r="58" spans="1:7" x14ac:dyDescent="0.35">
      <c r="A58" s="2">
        <v>12</v>
      </c>
      <c r="B58" s="2" t="s">
        <v>31</v>
      </c>
      <c r="C58" s="2">
        <f>SUMIFS(Luong_theo_ban!D:D, Luong_theo_ban!A:A, A58, Luong_theo_ban!B:B, B58)</f>
        <v>20</v>
      </c>
      <c r="D58" s="3">
        <f>SUMIFS(Luong_theo_ban!G:G, Luong_theo_ban!A:A, A58, Luong_theo_ban!B:B, B58)</f>
        <v>149800000</v>
      </c>
      <c r="E58" s="9"/>
      <c r="F58" s="9"/>
      <c r="G58" s="9"/>
    </row>
    <row r="59" spans="1:7" x14ac:dyDescent="0.35">
      <c r="A59" s="2">
        <v>12</v>
      </c>
      <c r="B59" s="2" t="s">
        <v>35</v>
      </c>
      <c r="C59" s="2">
        <f>SUMIFS(Luong_theo_ban!D:D, Luong_theo_ban!A:A, A59, Luong_theo_ban!B:B, B59)</f>
        <v>1</v>
      </c>
      <c r="D59" s="3">
        <f>SUMIFS(Luong_theo_ban!G:G, Luong_theo_ban!A:A, A59, Luong_theo_ban!B:B, B59)</f>
        <v>10500000</v>
      </c>
      <c r="E59" s="9"/>
      <c r="F59" s="9"/>
      <c r="G59" s="9"/>
    </row>
    <row r="60" spans="1:7" x14ac:dyDescent="0.35">
      <c r="A60" s="2">
        <v>12</v>
      </c>
      <c r="B60" s="2" t="s">
        <v>36</v>
      </c>
      <c r="C60" s="2">
        <f>SUMIFS(Luong_theo_ban!D:D, Luong_theo_ban!A:A, A60, Luong_theo_ban!B:B, B60)</f>
        <v>4</v>
      </c>
      <c r="D60" s="3">
        <f>SUMIFS(Luong_theo_ban!G:G, Luong_theo_ban!A:A, A60, Luong_theo_ban!B:B, B60)</f>
        <v>62300000</v>
      </c>
      <c r="E60" s="9"/>
      <c r="F60" s="9"/>
      <c r="G60" s="9"/>
    </row>
    <row r="61" spans="1:7" x14ac:dyDescent="0.35">
      <c r="A61" s="2">
        <v>12</v>
      </c>
      <c r="B61" s="2" t="s">
        <v>40</v>
      </c>
      <c r="C61" s="2">
        <f>SUMIFS(Luong_theo_ban!D:D, Luong_theo_ban!A:A, A61, Luong_theo_ban!B:B, B61)</f>
        <v>6</v>
      </c>
      <c r="D61" s="3">
        <f>SUMIFS(Luong_theo_ban!G:G, Luong_theo_ban!A:A, A61, Luong_theo_ban!B:B, B61)</f>
        <v>56700000</v>
      </c>
      <c r="E61" s="9"/>
      <c r="F61" s="9"/>
      <c r="G61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Model</vt:lpstr>
      <vt:lpstr>Assumptions</vt:lpstr>
      <vt:lpstr>Dau_vao</vt:lpstr>
      <vt:lpstr>Luong_theo_ban</vt:lpstr>
      <vt:lpstr>KPI_theo_ban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Huu Binh Nguyen</cp:lastModifiedBy>
  <dcterms:created xsi:type="dcterms:W3CDTF">2026-03-28T08:34:24Z</dcterms:created>
  <dcterms:modified xsi:type="dcterms:W3CDTF">2026-03-29T09:16:33Z</dcterms:modified>
</cp:coreProperties>
</file>