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guyen\Downloads\KTCT_MLN\"/>
    </mc:Choice>
  </mc:AlternateContent>
  <xr:revisionPtr revIDLastSave="0" documentId="13_ncr:1_{D8F81221-B5A0-4CD2-801E-1E980BD8383A}" xr6:coauthVersionLast="47" xr6:coauthVersionMax="47" xr10:uidLastSave="{00000000-0000-0000-0000-000000000000}"/>
  <bookViews>
    <workbookView xWindow="-110" yWindow="-110" windowWidth="19420" windowHeight="12220" activeTab="3" xr2:uid="{00000000-000D-0000-FFFF-FFFF00000000}"/>
  </bookViews>
  <sheets>
    <sheet name="Financial Model" sheetId="1" r:id="rId1"/>
    <sheet name="Assumptions" sheetId="2" r:id="rId2"/>
    <sheet name="Dau_vao" sheetId="3" r:id="rId3"/>
    <sheet name="Luong_theo_ban" sheetId="4" r:id="rId4"/>
    <sheet name="KPI_theo_b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5" l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19" i="3"/>
  <c r="D11" i="3"/>
  <c r="B4" i="3"/>
  <c r="E23" i="3" s="1"/>
  <c r="B3" i="3"/>
  <c r="B2" i="3"/>
  <c r="C3" i="1"/>
  <c r="D4" i="1" s="1"/>
  <c r="C2" i="1"/>
  <c r="D3" i="1" s="1"/>
  <c r="B2" i="1"/>
  <c r="B3" i="1" s="1"/>
  <c r="E3" i="1" l="1"/>
  <c r="B4" i="1"/>
  <c r="D16" i="3"/>
  <c r="E16" i="3"/>
  <c r="D17" i="3"/>
  <c r="E17" i="3"/>
  <c r="F2" i="1"/>
  <c r="F3" i="1" s="1"/>
  <c r="D10" i="3"/>
  <c r="D18" i="3"/>
  <c r="E10" i="3"/>
  <c r="E18" i="3"/>
  <c r="E11" i="3"/>
  <c r="E19" i="3"/>
  <c r="E12" i="3"/>
  <c r="E20" i="3"/>
  <c r="D13" i="3"/>
  <c r="D21" i="3"/>
  <c r="D22" i="3"/>
  <c r="C4" i="1"/>
  <c r="E13" i="3"/>
  <c r="E21" i="3"/>
  <c r="E14" i="3"/>
  <c r="E22" i="3"/>
  <c r="D12" i="3"/>
  <c r="D20" i="3"/>
  <c r="D14" i="3"/>
  <c r="D15" i="3"/>
  <c r="D23" i="3"/>
  <c r="E15" i="3"/>
  <c r="C5" i="1" l="1"/>
  <c r="D5" i="1"/>
  <c r="B5" i="1"/>
  <c r="E4" i="1"/>
  <c r="F4" i="1" s="1"/>
  <c r="C6" i="1" l="1"/>
  <c r="D6" i="1"/>
  <c r="B6" i="1"/>
  <c r="E5" i="1"/>
  <c r="F5" i="1" s="1"/>
  <c r="B7" i="1" l="1"/>
  <c r="E6" i="1"/>
  <c r="F6" i="1" s="1"/>
  <c r="D7" i="1"/>
  <c r="C7" i="1"/>
  <c r="C8" i="1" l="1"/>
  <c r="D8" i="1"/>
  <c r="B8" i="1"/>
  <c r="E7" i="1"/>
  <c r="F7" i="1" s="1"/>
  <c r="B9" i="1" l="1"/>
  <c r="E8" i="1"/>
  <c r="F8" i="1" s="1"/>
  <c r="D9" i="1"/>
  <c r="C9" i="1"/>
  <c r="D10" i="1" l="1"/>
  <c r="C10" i="1"/>
  <c r="B10" i="1"/>
  <c r="E9" i="1"/>
  <c r="F9" i="1" s="1"/>
  <c r="D11" i="1" l="1"/>
  <c r="C11" i="1"/>
  <c r="B11" i="1"/>
  <c r="E10" i="1"/>
  <c r="F10" i="1" s="1"/>
  <c r="E11" i="1" l="1"/>
  <c r="F11" i="1" s="1"/>
  <c r="B12" i="1"/>
  <c r="D12" i="1"/>
  <c r="C12" i="1"/>
  <c r="C13" i="1" l="1"/>
  <c r="D13" i="1"/>
  <c r="B13" i="1"/>
  <c r="E12" i="1"/>
  <c r="F12" i="1" s="1"/>
  <c r="B14" i="1" l="1"/>
  <c r="E14" i="1" s="1"/>
  <c r="E13" i="1"/>
  <c r="F13" i="1" s="1"/>
  <c r="F14" i="1" s="1"/>
  <c r="D14" i="1"/>
  <c r="C14" i="1"/>
</calcChain>
</file>

<file path=xl/sharedStrings.xml><?xml version="1.0" encoding="utf-8"?>
<sst xmlns="http://schemas.openxmlformats.org/spreadsheetml/2006/main" count="428" uniqueCount="63">
  <si>
    <t>Tháng</t>
  </si>
  <si>
    <t>Bộ phận</t>
  </si>
  <si>
    <t>Vị trí</t>
  </si>
  <si>
    <t>Số lượng</t>
  </si>
  <si>
    <t>Lương cơ bản (Tr)</t>
  </si>
  <si>
    <t>Thưởng KPI (Tr)</t>
  </si>
  <si>
    <t>Tổng lương (Tr)</t>
  </si>
  <si>
    <t>Marketing</t>
  </si>
  <si>
    <t>Manager</t>
  </si>
  <si>
    <t>Performance</t>
  </si>
  <si>
    <t>Content</t>
  </si>
  <si>
    <t>Creative</t>
  </si>
  <si>
    <t>Sales</t>
  </si>
  <si>
    <t>Team lead</t>
  </si>
  <si>
    <t>Defendence</t>
  </si>
  <si>
    <t>Sales member</t>
  </si>
  <si>
    <t>Tech</t>
  </si>
  <si>
    <t>Automation</t>
  </si>
  <si>
    <t>Fullstack</t>
  </si>
  <si>
    <t>Devops</t>
  </si>
  <si>
    <t>Ops</t>
  </si>
  <si>
    <t>Ops manager</t>
  </si>
  <si>
    <t>Delivery</t>
  </si>
  <si>
    <t>Support</t>
  </si>
  <si>
    <t>Số nhân sự</t>
  </si>
  <si>
    <t>GTDN (Doanh thu)</t>
  </si>
  <si>
    <t>Lãi tháng</t>
  </si>
  <si>
    <t>Tổng lương chi</t>
  </si>
  <si>
    <t>Số dư vốn</t>
  </si>
  <si>
    <t>Tham số</t>
  </si>
  <si>
    <t>Giá trị</t>
  </si>
  <si>
    <t>Vốn đầu tư ban đầu (VND)</t>
  </si>
  <si>
    <t>Tỷ lệ tăng trưởng hàng tháng</t>
  </si>
  <si>
    <t>Lương bình quân (VND/người)</t>
  </si>
  <si>
    <t>Số nhân sự ban đầu</t>
  </si>
  <si>
    <t>Tuyển mới hàng tháng</t>
  </si>
  <si>
    <t>SECTION 1: THÔNG SỐ CỐ ĐỊNH</t>
  </si>
  <si>
    <t>Vốn đầu tư ban đầu</t>
  </si>
  <si>
    <t>Tỷ lệ tăng trưởng</t>
  </si>
  <si>
    <t>Lương bình quân (Avg Salary)</t>
  </si>
  <si>
    <t>Tỷ lệ Lương cứng (Base %)</t>
  </si>
  <si>
    <t>Tỷ lệ Thưởng KPI (KPI %)</t>
  </si>
  <si>
    <t>SECTION 2-4: CƠ CẤU NHÂN SỰ</t>
  </si>
  <si>
    <t>Ban</t>
  </si>
  <si>
    <t>Role</t>
  </si>
  <si>
    <t>Số người</t>
  </si>
  <si>
    <t>Lương cơ bản</t>
  </si>
  <si>
    <t>Thưởng KPI</t>
  </si>
  <si>
    <t>Hệ số (Coef)</t>
  </si>
  <si>
    <t>Teamlead</t>
  </si>
  <si>
    <t>Defence</t>
  </si>
  <si>
    <t>Member</t>
  </si>
  <si>
    <t>DevOps</t>
  </si>
  <si>
    <t>OPS</t>
  </si>
  <si>
    <t>Quản lý vận hành</t>
  </si>
  <si>
    <t>Triển khai / Delivery</t>
  </si>
  <si>
    <t>Kiểm soát &amp; tối ưu</t>
  </si>
  <si>
    <t>Hỗ trợ vận hành</t>
  </si>
  <si>
    <t>Tổng người</t>
  </si>
  <si>
    <t>Quỹ lương (Tr)</t>
  </si>
  <si>
    <t>Công việc</t>
  </si>
  <si>
    <t>KPI</t>
  </si>
  <si>
    <t>Ghi chú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</si>
</sst>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4F46E5"/>
        <bgColor rgb="FF4F46E5"/>
      </patternFill>
    </fill>
    <fill>
      <patternFill patternType="solid">
        <fgColor rgb="FF4F46E5"/>
        <bgColor rgb="FF4F46E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1" fillId="2" borderId="1" xfId="0" applyFont="1" applyFill="1" applyBorder="1"/>
    <xf numFmtId="9" fontId="0" fillId="0" borderId="1" xfId="0" applyNumberFormat="1" applyBorder="1"/>
    <xf numFmtId="0" fontId="2" fillId="0" borderId="0" xfId="0" applyFont="1"/>
    <xf numFmtId="9" fontId="0" fillId="3" borderId="1" xfId="0" applyNumberFormat="1" applyFill="1" applyBorder="1"/>
    <xf numFmtId="0" fontId="2" fillId="4" borderId="1" xfId="0" applyFont="1" applyFill="1" applyBorder="1"/>
    <xf numFmtId="0" fontId="0" fillId="3" borderId="1" xfId="0" applyFill="1" applyBorder="1"/>
    <xf numFmtId="3" fontId="0" fillId="0" borderId="0" xfId="0" applyNumberFormat="1"/>
    <xf numFmtId="0" fontId="3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zoomScale="112" workbookViewId="0">
      <selection activeCell="D8" sqref="D8"/>
    </sheetView>
  </sheetViews>
  <sheetFormatPr defaultRowHeight="14.5" x14ac:dyDescent="0.35"/>
  <cols>
    <col min="3" max="3" width="25" customWidth="1"/>
    <col min="4" max="5" width="20" customWidth="1"/>
    <col min="6" max="6" width="25" customWidth="1"/>
  </cols>
  <sheetData>
    <row r="1" spans="1:6" x14ac:dyDescent="0.35">
      <c r="A1" s="1" t="s">
        <v>0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</row>
    <row r="2" spans="1:6" x14ac:dyDescent="0.35">
      <c r="A2" s="2">
        <v>0</v>
      </c>
      <c r="B2" s="2">
        <f>Assumptions!$B$5</f>
        <v>30</v>
      </c>
      <c r="C2" s="3">
        <f>Assumptions!$B$2</f>
        <v>2000000000</v>
      </c>
      <c r="D2" s="3">
        <v>0</v>
      </c>
      <c r="E2" s="3">
        <v>0</v>
      </c>
      <c r="F2" s="3">
        <f>C2</f>
        <v>2000000000</v>
      </c>
    </row>
    <row r="3" spans="1:6" x14ac:dyDescent="0.35">
      <c r="A3" s="2">
        <v>1</v>
      </c>
      <c r="B3" s="2">
        <f>B2+Assumptions!$B$6</f>
        <v>31</v>
      </c>
      <c r="C3" s="3">
        <f>C2*(1+Assumptions!$B$3)</f>
        <v>2100000000</v>
      </c>
      <c r="D3" s="3">
        <f>Assumptions!$B$3*C2</f>
        <v>100000000</v>
      </c>
      <c r="E3" s="3">
        <f>B3*Assumptions!$B$4</f>
        <v>279000000</v>
      </c>
      <c r="F3" s="3">
        <f t="shared" ref="F3:F14" si="0">F2+D3-E3</f>
        <v>1821000000</v>
      </c>
    </row>
    <row r="4" spans="1:6" x14ac:dyDescent="0.35">
      <c r="A4" s="2">
        <v>2</v>
      </c>
      <c r="B4" s="2">
        <f>B3+Assumptions!$B$6</f>
        <v>32</v>
      </c>
      <c r="C4" s="3">
        <f>C3*(1+Assumptions!$B$3)</f>
        <v>2205000000</v>
      </c>
      <c r="D4" s="3">
        <f>Assumptions!$B$3*C3</f>
        <v>105000000</v>
      </c>
      <c r="E4" s="3">
        <f>B4*Assumptions!$B$4</f>
        <v>288000000</v>
      </c>
      <c r="F4" s="3">
        <f t="shared" si="0"/>
        <v>1638000000</v>
      </c>
    </row>
    <row r="5" spans="1:6" x14ac:dyDescent="0.35">
      <c r="A5" s="2">
        <v>3</v>
      </c>
      <c r="B5" s="2">
        <f>B4+Assumptions!$B$6</f>
        <v>33</v>
      </c>
      <c r="C5" s="3">
        <f>C4*(1+Assumptions!$B$3)</f>
        <v>2315250000</v>
      </c>
      <c r="D5" s="3">
        <f>Assumptions!$B$3*C4</f>
        <v>110250000</v>
      </c>
      <c r="E5" s="3">
        <f>B5*Assumptions!$B$4</f>
        <v>297000000</v>
      </c>
      <c r="F5" s="3">
        <f t="shared" si="0"/>
        <v>1451250000</v>
      </c>
    </row>
    <row r="6" spans="1:6" x14ac:dyDescent="0.35">
      <c r="A6" s="2">
        <v>4</v>
      </c>
      <c r="B6" s="2">
        <f>B5+Assumptions!$B$6</f>
        <v>34</v>
      </c>
      <c r="C6" s="3">
        <f>C5*(1+Assumptions!$B$3)</f>
        <v>2431012500</v>
      </c>
      <c r="D6" s="3">
        <f>Assumptions!$B$3*C5</f>
        <v>115762500</v>
      </c>
      <c r="E6" s="3">
        <f>B6*Assumptions!$B$4</f>
        <v>306000000</v>
      </c>
      <c r="F6" s="3">
        <f t="shared" si="0"/>
        <v>1261012500</v>
      </c>
    </row>
    <row r="7" spans="1:6" x14ac:dyDescent="0.35">
      <c r="A7" s="2">
        <v>5</v>
      </c>
      <c r="B7" s="2">
        <f>B6+Assumptions!$B$6</f>
        <v>35</v>
      </c>
      <c r="C7" s="3">
        <f>C6*(1+Assumptions!$B$3)</f>
        <v>2552563125</v>
      </c>
      <c r="D7" s="3">
        <f>Assumptions!$B$3*C6</f>
        <v>121550625</v>
      </c>
      <c r="E7" s="3">
        <f>B7*Assumptions!$B$4</f>
        <v>315000000</v>
      </c>
      <c r="F7" s="3">
        <f t="shared" si="0"/>
        <v>1067563125</v>
      </c>
    </row>
    <row r="8" spans="1:6" x14ac:dyDescent="0.35">
      <c r="A8" s="2">
        <v>6</v>
      </c>
      <c r="B8" s="2">
        <f>B7+Assumptions!$B$6</f>
        <v>36</v>
      </c>
      <c r="C8" s="3">
        <f>C7*(1+Assumptions!$B$3)</f>
        <v>2680191281.25</v>
      </c>
      <c r="D8" s="3">
        <f>Assumptions!$B$3*C7</f>
        <v>127628156.25</v>
      </c>
      <c r="E8" s="3">
        <f>B8*Assumptions!$B$4</f>
        <v>324000000</v>
      </c>
      <c r="F8" s="3">
        <f t="shared" si="0"/>
        <v>871191281.25</v>
      </c>
    </row>
    <row r="9" spans="1:6" x14ac:dyDescent="0.35">
      <c r="A9" s="2">
        <v>7</v>
      </c>
      <c r="B9" s="2">
        <f>B8+Assumptions!$B$6</f>
        <v>37</v>
      </c>
      <c r="C9" s="3">
        <f>C8*(1+Assumptions!$B$3)</f>
        <v>2814200845.3125</v>
      </c>
      <c r="D9" s="3">
        <f>Assumptions!$B$3*C8</f>
        <v>134009564.0625</v>
      </c>
      <c r="E9" s="3">
        <f>B9*Assumptions!$B$4</f>
        <v>333000000</v>
      </c>
      <c r="F9" s="3">
        <f t="shared" si="0"/>
        <v>672200845.3125</v>
      </c>
    </row>
    <row r="10" spans="1:6" x14ac:dyDescent="0.35">
      <c r="A10" s="2">
        <v>8</v>
      </c>
      <c r="B10" s="2">
        <f>B9+Assumptions!$B$6</f>
        <v>38</v>
      </c>
      <c r="C10" s="3">
        <f>C9*(1+Assumptions!$B$3)</f>
        <v>2954910887.578125</v>
      </c>
      <c r="D10" s="3">
        <f>Assumptions!$B$3*C9</f>
        <v>140710042.265625</v>
      </c>
      <c r="E10" s="3">
        <f>B10*Assumptions!$B$4</f>
        <v>342000000</v>
      </c>
      <c r="F10" s="3">
        <f t="shared" si="0"/>
        <v>470910887.578125</v>
      </c>
    </row>
    <row r="11" spans="1:6" x14ac:dyDescent="0.35">
      <c r="A11" s="2">
        <v>9</v>
      </c>
      <c r="B11" s="2">
        <f>B10+Assumptions!$B$6</f>
        <v>39</v>
      </c>
      <c r="C11" s="3">
        <f>C10*(1+Assumptions!$B$3)</f>
        <v>3102656431.9570313</v>
      </c>
      <c r="D11" s="3">
        <f>Assumptions!$B$3*C10</f>
        <v>147745544.37890625</v>
      </c>
      <c r="E11" s="3">
        <f>B11*Assumptions!$B$4</f>
        <v>351000000</v>
      </c>
      <c r="F11" s="3">
        <f t="shared" si="0"/>
        <v>267656431.95703125</v>
      </c>
    </row>
    <row r="12" spans="1:6" x14ac:dyDescent="0.35">
      <c r="A12" s="2">
        <v>10</v>
      </c>
      <c r="B12" s="2">
        <f>B11+Assumptions!$B$6</f>
        <v>40</v>
      </c>
      <c r="C12" s="3">
        <f>C11*(1+Assumptions!$B$3)</f>
        <v>3257789253.554883</v>
      </c>
      <c r="D12" s="3">
        <f>Assumptions!$B$3*C11</f>
        <v>155132821.59785157</v>
      </c>
      <c r="E12" s="3">
        <f>B12*Assumptions!$B$4</f>
        <v>360000000</v>
      </c>
      <c r="F12" s="3">
        <f t="shared" si="0"/>
        <v>62789253.554882824</v>
      </c>
    </row>
    <row r="13" spans="1:6" x14ac:dyDescent="0.35">
      <c r="A13" s="2">
        <v>11</v>
      </c>
      <c r="B13" s="2">
        <f>B12+Assumptions!$B$6</f>
        <v>41</v>
      </c>
      <c r="C13" s="3">
        <f>C12*(1+Assumptions!$B$3)</f>
        <v>3420678716.2326274</v>
      </c>
      <c r="D13" s="3">
        <f>Assumptions!$B$3*C12</f>
        <v>162889462.67774415</v>
      </c>
      <c r="E13" s="3">
        <f>B13*Assumptions!$B$4</f>
        <v>369000000</v>
      </c>
      <c r="F13" s="3">
        <f t="shared" si="0"/>
        <v>-143321283.76737303</v>
      </c>
    </row>
    <row r="14" spans="1:6" x14ac:dyDescent="0.35">
      <c r="A14" s="2">
        <v>12</v>
      </c>
      <c r="B14" s="2">
        <f>B13+Assumptions!$B$6</f>
        <v>42</v>
      </c>
      <c r="C14" s="3">
        <f>C13*(1+Assumptions!$B$3)</f>
        <v>3591712652.0442591</v>
      </c>
      <c r="D14" s="3">
        <f>Assumptions!$B$3*C13</f>
        <v>171033935.81163138</v>
      </c>
      <c r="E14" s="3">
        <f>B14*Assumptions!$B$4</f>
        <v>378000000</v>
      </c>
      <c r="F14" s="3">
        <f t="shared" si="0"/>
        <v>-350287347.95574164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D10" sqref="D10"/>
    </sheetView>
  </sheetViews>
  <sheetFormatPr defaultRowHeight="14.5" x14ac:dyDescent="0.35"/>
  <cols>
    <col min="1" max="1" width="35" customWidth="1"/>
    <col min="2" max="2" width="12.1796875" bestFit="1" customWidth="1"/>
  </cols>
  <sheetData>
    <row r="1" spans="1:2" x14ac:dyDescent="0.35">
      <c r="A1" s="4" t="s">
        <v>29</v>
      </c>
      <c r="B1" s="4" t="s">
        <v>30</v>
      </c>
    </row>
    <row r="2" spans="1:2" x14ac:dyDescent="0.35">
      <c r="A2" s="2" t="s">
        <v>31</v>
      </c>
      <c r="B2" s="3">
        <v>2000000000</v>
      </c>
    </row>
    <row r="3" spans="1:2" x14ac:dyDescent="0.35">
      <c r="A3" s="2" t="s">
        <v>32</v>
      </c>
      <c r="B3" s="5">
        <v>0.05</v>
      </c>
    </row>
    <row r="4" spans="1:2" x14ac:dyDescent="0.35">
      <c r="A4" s="2" t="s">
        <v>33</v>
      </c>
      <c r="B4" s="3">
        <v>9000000</v>
      </c>
    </row>
    <row r="5" spans="1:2" x14ac:dyDescent="0.35">
      <c r="A5" s="2" t="s">
        <v>34</v>
      </c>
      <c r="B5" s="2">
        <v>30</v>
      </c>
    </row>
    <row r="6" spans="1:2" x14ac:dyDescent="0.35">
      <c r="A6" s="2" t="s">
        <v>35</v>
      </c>
      <c r="B6" s="2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topLeftCell="A12" zoomScale="126" workbookViewId="0">
      <selection activeCell="E9" sqref="E9"/>
    </sheetView>
  </sheetViews>
  <sheetFormatPr defaultRowHeight="14.5" x14ac:dyDescent="0.35"/>
  <cols>
    <col min="1" max="2" width="25" customWidth="1"/>
    <col min="4" max="4" width="15.36328125" customWidth="1"/>
    <col min="5" max="5" width="10.6328125" bestFit="1" customWidth="1"/>
    <col min="6" max="6" width="11" bestFit="1" customWidth="1"/>
  </cols>
  <sheetData>
    <row r="1" spans="1:6" x14ac:dyDescent="0.35">
      <c r="A1" s="6" t="s">
        <v>36</v>
      </c>
    </row>
    <row r="2" spans="1:6" x14ac:dyDescent="0.35">
      <c r="A2" s="2" t="s">
        <v>37</v>
      </c>
      <c r="B2" s="3">
        <f>Assumptions!$B$2</f>
        <v>2000000000</v>
      </c>
    </row>
    <row r="3" spans="1:6" x14ac:dyDescent="0.35">
      <c r="A3" s="2" t="s">
        <v>38</v>
      </c>
      <c r="B3" s="5">
        <f>Assumptions!$B$3</f>
        <v>0.05</v>
      </c>
    </row>
    <row r="4" spans="1:6" x14ac:dyDescent="0.35">
      <c r="A4" s="2" t="s">
        <v>39</v>
      </c>
      <c r="B4" s="3">
        <f>Assumptions!$B$4</f>
        <v>9000000</v>
      </c>
    </row>
    <row r="5" spans="1:6" x14ac:dyDescent="0.35">
      <c r="A5" s="2" t="s">
        <v>40</v>
      </c>
      <c r="B5" s="7">
        <v>0.7</v>
      </c>
    </row>
    <row r="6" spans="1:6" x14ac:dyDescent="0.35">
      <c r="A6" s="2" t="s">
        <v>41</v>
      </c>
      <c r="B6" s="7">
        <v>0.3</v>
      </c>
    </row>
    <row r="8" spans="1:6" x14ac:dyDescent="0.35">
      <c r="A8" s="6" t="s">
        <v>42</v>
      </c>
    </row>
    <row r="9" spans="1:6" x14ac:dyDescent="0.35">
      <c r="A9" s="8" t="s">
        <v>43</v>
      </c>
      <c r="B9" s="8" t="s">
        <v>44</v>
      </c>
      <c r="C9" s="8" t="s">
        <v>45</v>
      </c>
      <c r="D9" s="8" t="s">
        <v>46</v>
      </c>
      <c r="E9" s="8" t="s">
        <v>47</v>
      </c>
      <c r="F9" s="8" t="s">
        <v>48</v>
      </c>
    </row>
    <row r="10" spans="1:6" x14ac:dyDescent="0.35">
      <c r="A10" s="2" t="s">
        <v>7</v>
      </c>
      <c r="B10" s="2" t="s">
        <v>8</v>
      </c>
      <c r="C10" s="9">
        <v>1</v>
      </c>
      <c r="D10" s="3">
        <f t="shared" ref="D10:D16" si="0">$B$4 * $F10 * $B$5</f>
        <v>15749999.999999998</v>
      </c>
      <c r="E10" s="3">
        <f t="shared" ref="E10:E16" si="1">$B$4 * $F10 * $B$6</f>
        <v>6750000</v>
      </c>
      <c r="F10" s="9">
        <v>2.5</v>
      </c>
    </row>
    <row r="11" spans="1:6" x14ac:dyDescent="0.35">
      <c r="A11" s="2" t="s">
        <v>7</v>
      </c>
      <c r="B11" s="2" t="s">
        <v>9</v>
      </c>
      <c r="C11" s="9">
        <v>4</v>
      </c>
      <c r="D11" s="3">
        <f t="shared" si="0"/>
        <v>9450000</v>
      </c>
      <c r="E11" s="3">
        <f t="shared" si="1"/>
        <v>4050000</v>
      </c>
      <c r="F11" s="9">
        <v>1.5</v>
      </c>
    </row>
    <row r="12" spans="1:6" x14ac:dyDescent="0.35">
      <c r="A12" s="2" t="s">
        <v>7</v>
      </c>
      <c r="B12" s="2" t="s">
        <v>10</v>
      </c>
      <c r="C12" s="9">
        <v>3</v>
      </c>
      <c r="D12" s="3">
        <f t="shared" si="0"/>
        <v>7559999.9999999991</v>
      </c>
      <c r="E12" s="3">
        <f t="shared" si="1"/>
        <v>3240000</v>
      </c>
      <c r="F12" s="9">
        <v>1.2</v>
      </c>
    </row>
    <row r="13" spans="1:6" x14ac:dyDescent="0.35">
      <c r="A13" s="2" t="s">
        <v>7</v>
      </c>
      <c r="B13" s="2" t="s">
        <v>11</v>
      </c>
      <c r="C13" s="9">
        <v>2</v>
      </c>
      <c r="D13" s="3">
        <f t="shared" si="0"/>
        <v>8189999.9999999991</v>
      </c>
      <c r="E13" s="3">
        <f t="shared" si="1"/>
        <v>3510000</v>
      </c>
      <c r="F13" s="9">
        <v>1.3</v>
      </c>
    </row>
    <row r="14" spans="1:6" x14ac:dyDescent="0.35">
      <c r="A14" s="2" t="s">
        <v>12</v>
      </c>
      <c r="B14" s="2" t="s">
        <v>49</v>
      </c>
      <c r="C14" s="9">
        <v>1</v>
      </c>
      <c r="D14" s="3">
        <f t="shared" si="0"/>
        <v>12600000</v>
      </c>
      <c r="E14" s="3">
        <f t="shared" si="1"/>
        <v>5400000</v>
      </c>
      <c r="F14" s="9">
        <v>2</v>
      </c>
    </row>
    <row r="15" spans="1:6" x14ac:dyDescent="0.35">
      <c r="A15" s="2" t="s">
        <v>12</v>
      </c>
      <c r="B15" s="2" t="s">
        <v>50</v>
      </c>
      <c r="C15" s="9">
        <v>1</v>
      </c>
      <c r="D15" s="3">
        <f t="shared" si="0"/>
        <v>7559999.9999999991</v>
      </c>
      <c r="E15" s="3">
        <f t="shared" si="1"/>
        <v>3240000</v>
      </c>
      <c r="F15" s="9">
        <v>1.2</v>
      </c>
    </row>
    <row r="16" spans="1:6" x14ac:dyDescent="0.35">
      <c r="A16" s="2" t="s">
        <v>12</v>
      </c>
      <c r="B16" s="2" t="s">
        <v>51</v>
      </c>
      <c r="C16" s="9">
        <v>3</v>
      </c>
      <c r="D16" s="3">
        <f t="shared" si="0"/>
        <v>6300000</v>
      </c>
      <c r="E16" s="3">
        <f t="shared" si="1"/>
        <v>2700000</v>
      </c>
      <c r="F16" s="9">
        <v>1</v>
      </c>
    </row>
    <row r="17" spans="1:6" x14ac:dyDescent="0.35">
      <c r="A17" s="2" t="s">
        <v>16</v>
      </c>
      <c r="B17" s="2" t="s">
        <v>17</v>
      </c>
      <c r="C17" s="9">
        <v>3</v>
      </c>
      <c r="D17" s="3">
        <f t="shared" ref="D17:D23" si="2">$B$4 * $F18 * $B$5</f>
        <v>13860000</v>
      </c>
      <c r="E17" s="3">
        <f t="shared" ref="E17:E23" si="3">$B$4 * $F18 * $B$6</f>
        <v>5940000</v>
      </c>
      <c r="F17" s="9">
        <v>2</v>
      </c>
    </row>
    <row r="18" spans="1:6" x14ac:dyDescent="0.35">
      <c r="A18" s="2" t="s">
        <v>16</v>
      </c>
      <c r="B18" s="2" t="s">
        <v>18</v>
      </c>
      <c r="C18" s="9">
        <v>4</v>
      </c>
      <c r="D18" s="3">
        <f t="shared" si="2"/>
        <v>15749999.999999998</v>
      </c>
      <c r="E18" s="3">
        <f t="shared" si="3"/>
        <v>6750000</v>
      </c>
      <c r="F18" s="9">
        <v>2.2000000000000002</v>
      </c>
    </row>
    <row r="19" spans="1:6" x14ac:dyDescent="0.35">
      <c r="A19" s="2" t="s">
        <v>16</v>
      </c>
      <c r="B19" s="2" t="s">
        <v>52</v>
      </c>
      <c r="C19" s="9">
        <v>3</v>
      </c>
      <c r="D19" s="3">
        <f t="shared" si="2"/>
        <v>13860000</v>
      </c>
      <c r="E19" s="3">
        <f t="shared" si="3"/>
        <v>5940000</v>
      </c>
      <c r="F19" s="9">
        <v>2.5</v>
      </c>
    </row>
    <row r="20" spans="1:6" x14ac:dyDescent="0.35">
      <c r="A20" s="2" t="s">
        <v>53</v>
      </c>
      <c r="B20" s="2" t="s">
        <v>54</v>
      </c>
      <c r="C20" s="9">
        <v>1</v>
      </c>
      <c r="D20" s="3">
        <f t="shared" si="2"/>
        <v>7559999.9999999991</v>
      </c>
      <c r="E20" s="3">
        <f t="shared" si="3"/>
        <v>3240000</v>
      </c>
      <c r="F20" s="9">
        <v>2.2000000000000002</v>
      </c>
    </row>
    <row r="21" spans="1:6" x14ac:dyDescent="0.35">
      <c r="A21" s="2" t="s">
        <v>53</v>
      </c>
      <c r="B21" s="2" t="s">
        <v>55</v>
      </c>
      <c r="C21" s="9">
        <v>1</v>
      </c>
      <c r="D21" s="3">
        <f t="shared" si="2"/>
        <v>9450000</v>
      </c>
      <c r="E21" s="3">
        <f t="shared" si="3"/>
        <v>4050000</v>
      </c>
      <c r="F21" s="9">
        <v>1.2</v>
      </c>
    </row>
    <row r="22" spans="1:6" x14ac:dyDescent="0.35">
      <c r="A22" s="2" t="s">
        <v>53</v>
      </c>
      <c r="B22" s="2" t="s">
        <v>56</v>
      </c>
      <c r="C22" s="9">
        <v>1</v>
      </c>
      <c r="D22" s="3">
        <f t="shared" si="2"/>
        <v>6300000</v>
      </c>
      <c r="E22" s="3">
        <f t="shared" si="3"/>
        <v>2700000</v>
      </c>
      <c r="F22" s="9">
        <v>1.5</v>
      </c>
    </row>
    <row r="23" spans="1:6" x14ac:dyDescent="0.35">
      <c r="A23" s="2" t="s">
        <v>53</v>
      </c>
      <c r="B23" s="2" t="s">
        <v>57</v>
      </c>
      <c r="C23" s="9">
        <v>1</v>
      </c>
      <c r="D23" s="3">
        <f t="shared" si="2"/>
        <v>0</v>
      </c>
      <c r="E23" s="3">
        <f t="shared" si="3"/>
        <v>0</v>
      </c>
      <c r="F23" s="9">
        <v>1</v>
      </c>
    </row>
    <row r="24" spans="1:6" x14ac:dyDescent="0.35">
      <c r="D24" s="10"/>
    </row>
    <row r="25" spans="1:6" x14ac:dyDescent="0.35">
      <c r="D25" s="10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7"/>
  <sheetViews>
    <sheetView tabSelected="1" topLeftCell="A136" workbookViewId="0">
      <selection activeCell="I14" sqref="I14"/>
    </sheetView>
  </sheetViews>
  <sheetFormatPr defaultRowHeight="14.5" x14ac:dyDescent="0.35"/>
  <cols>
    <col min="1" max="1" width="7" customWidth="1"/>
    <col min="2" max="2" width="11" customWidth="1"/>
    <col min="3" max="3" width="14" customWidth="1"/>
    <col min="4" max="4" width="10" customWidth="1"/>
    <col min="5" max="5" width="19" customWidth="1"/>
    <col min="6" max="7" width="17" customWidth="1"/>
  </cols>
  <sheetData>
    <row r="1" spans="1:7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</row>
    <row r="2" spans="1:7" x14ac:dyDescent="0.35">
      <c r="A2">
        <v>1</v>
      </c>
      <c r="B2" t="s">
        <v>7</v>
      </c>
      <c r="C2" t="s">
        <v>8</v>
      </c>
      <c r="D2">
        <v>1</v>
      </c>
      <c r="E2">
        <v>40</v>
      </c>
      <c r="F2">
        <v>10</v>
      </c>
      <c r="G2">
        <v>50</v>
      </c>
    </row>
    <row r="3" spans="1:7" x14ac:dyDescent="0.35">
      <c r="A3">
        <v>1</v>
      </c>
      <c r="B3" t="s">
        <v>7</v>
      </c>
      <c r="C3" t="s">
        <v>9</v>
      </c>
      <c r="D3">
        <v>2</v>
      </c>
      <c r="E3">
        <v>25</v>
      </c>
      <c r="F3">
        <v>5</v>
      </c>
      <c r="G3">
        <v>60</v>
      </c>
    </row>
    <row r="4" spans="1:7" x14ac:dyDescent="0.35">
      <c r="A4">
        <v>1</v>
      </c>
      <c r="B4" t="s">
        <v>7</v>
      </c>
      <c r="C4" t="s">
        <v>10</v>
      </c>
      <c r="D4">
        <v>2</v>
      </c>
      <c r="E4">
        <v>15</v>
      </c>
      <c r="F4">
        <v>3</v>
      </c>
      <c r="G4">
        <v>36</v>
      </c>
    </row>
    <row r="5" spans="1:7" x14ac:dyDescent="0.35">
      <c r="A5">
        <v>1</v>
      </c>
      <c r="B5" t="s">
        <v>7</v>
      </c>
      <c r="C5" t="s">
        <v>11</v>
      </c>
      <c r="D5">
        <v>1</v>
      </c>
      <c r="E5">
        <v>15</v>
      </c>
      <c r="F5">
        <v>3</v>
      </c>
      <c r="G5">
        <v>18</v>
      </c>
    </row>
    <row r="6" spans="1:7" x14ac:dyDescent="0.35">
      <c r="A6">
        <v>1</v>
      </c>
      <c r="B6" t="s">
        <v>12</v>
      </c>
      <c r="C6" t="s">
        <v>13</v>
      </c>
      <c r="D6">
        <v>1</v>
      </c>
      <c r="E6">
        <v>30</v>
      </c>
      <c r="F6">
        <v>10</v>
      </c>
      <c r="G6">
        <v>40</v>
      </c>
    </row>
    <row r="7" spans="1:7" x14ac:dyDescent="0.35">
      <c r="A7">
        <v>1</v>
      </c>
      <c r="B7" t="s">
        <v>12</v>
      </c>
      <c r="C7" t="s">
        <v>14</v>
      </c>
      <c r="D7">
        <v>1</v>
      </c>
      <c r="E7">
        <v>20</v>
      </c>
      <c r="F7">
        <v>5</v>
      </c>
      <c r="G7">
        <v>25</v>
      </c>
    </row>
    <row r="8" spans="1:7" x14ac:dyDescent="0.35">
      <c r="A8">
        <v>1</v>
      </c>
      <c r="B8" t="s">
        <v>12</v>
      </c>
      <c r="C8" t="s">
        <v>15</v>
      </c>
      <c r="D8">
        <v>2</v>
      </c>
      <c r="E8">
        <v>15</v>
      </c>
      <c r="F8">
        <v>5</v>
      </c>
      <c r="G8">
        <v>40</v>
      </c>
    </row>
    <row r="9" spans="1:7" x14ac:dyDescent="0.35">
      <c r="A9">
        <v>1</v>
      </c>
      <c r="B9" t="s">
        <v>16</v>
      </c>
      <c r="C9" t="s">
        <v>17</v>
      </c>
      <c r="D9">
        <v>1</v>
      </c>
      <c r="E9">
        <v>35</v>
      </c>
      <c r="F9">
        <v>7</v>
      </c>
      <c r="G9">
        <v>42</v>
      </c>
    </row>
    <row r="10" spans="1:7" x14ac:dyDescent="0.35">
      <c r="A10">
        <v>1</v>
      </c>
      <c r="B10" t="s">
        <v>16</v>
      </c>
      <c r="C10" t="s">
        <v>18</v>
      </c>
      <c r="D10">
        <v>2</v>
      </c>
      <c r="E10">
        <v>30</v>
      </c>
      <c r="F10">
        <v>6</v>
      </c>
      <c r="G10">
        <v>72</v>
      </c>
    </row>
    <row r="11" spans="1:7" x14ac:dyDescent="0.35">
      <c r="A11">
        <v>1</v>
      </c>
      <c r="B11" t="s">
        <v>16</v>
      </c>
      <c r="C11" t="s">
        <v>19</v>
      </c>
      <c r="D11">
        <v>1</v>
      </c>
      <c r="E11">
        <v>30</v>
      </c>
      <c r="F11">
        <v>6</v>
      </c>
      <c r="G11">
        <v>36</v>
      </c>
    </row>
    <row r="12" spans="1:7" x14ac:dyDescent="0.35">
      <c r="A12">
        <v>1</v>
      </c>
      <c r="B12" t="s">
        <v>20</v>
      </c>
      <c r="C12" t="s">
        <v>21</v>
      </c>
      <c r="D12">
        <v>1</v>
      </c>
      <c r="E12">
        <v>30</v>
      </c>
      <c r="F12">
        <v>5</v>
      </c>
      <c r="G12">
        <v>35</v>
      </c>
    </row>
    <row r="13" spans="1:7" x14ac:dyDescent="0.35">
      <c r="A13">
        <v>1</v>
      </c>
      <c r="B13" t="s">
        <v>20</v>
      </c>
      <c r="C13" t="s">
        <v>22</v>
      </c>
      <c r="D13">
        <v>1</v>
      </c>
      <c r="E13">
        <v>15</v>
      </c>
      <c r="F13">
        <v>2</v>
      </c>
      <c r="G13">
        <v>17</v>
      </c>
    </row>
    <row r="14" spans="1:7" x14ac:dyDescent="0.35">
      <c r="A14">
        <v>1</v>
      </c>
      <c r="B14" t="s">
        <v>20</v>
      </c>
      <c r="C14" t="s">
        <v>23</v>
      </c>
      <c r="D14">
        <v>1</v>
      </c>
      <c r="E14">
        <v>15</v>
      </c>
      <c r="F14">
        <v>2</v>
      </c>
      <c r="G14">
        <v>17</v>
      </c>
    </row>
    <row r="15" spans="1:7" x14ac:dyDescent="0.35">
      <c r="A15">
        <v>2</v>
      </c>
      <c r="B15" t="s">
        <v>7</v>
      </c>
      <c r="C15" t="s">
        <v>8</v>
      </c>
      <c r="D15">
        <v>1</v>
      </c>
      <c r="E15">
        <v>40</v>
      </c>
      <c r="F15">
        <v>10</v>
      </c>
      <c r="G15">
        <v>50</v>
      </c>
    </row>
    <row r="16" spans="1:7" x14ac:dyDescent="0.35">
      <c r="A16">
        <v>2</v>
      </c>
      <c r="B16" t="s">
        <v>7</v>
      </c>
      <c r="C16" t="s">
        <v>9</v>
      </c>
      <c r="D16">
        <v>2</v>
      </c>
      <c r="E16">
        <v>25</v>
      </c>
      <c r="F16">
        <v>5</v>
      </c>
      <c r="G16">
        <v>60</v>
      </c>
    </row>
    <row r="17" spans="1:7" x14ac:dyDescent="0.35">
      <c r="A17">
        <v>2</v>
      </c>
      <c r="B17" t="s">
        <v>7</v>
      </c>
      <c r="C17" t="s">
        <v>10</v>
      </c>
      <c r="D17">
        <v>2</v>
      </c>
      <c r="E17">
        <v>15</v>
      </c>
      <c r="F17">
        <v>3</v>
      </c>
      <c r="G17">
        <v>36</v>
      </c>
    </row>
    <row r="18" spans="1:7" x14ac:dyDescent="0.35">
      <c r="A18">
        <v>2</v>
      </c>
      <c r="B18" t="s">
        <v>7</v>
      </c>
      <c r="C18" t="s">
        <v>11</v>
      </c>
      <c r="D18">
        <v>1</v>
      </c>
      <c r="E18">
        <v>15</v>
      </c>
      <c r="F18">
        <v>3</v>
      </c>
      <c r="G18">
        <v>18</v>
      </c>
    </row>
    <row r="19" spans="1:7" x14ac:dyDescent="0.35">
      <c r="A19">
        <v>2</v>
      </c>
      <c r="B19" t="s">
        <v>12</v>
      </c>
      <c r="C19" t="s">
        <v>13</v>
      </c>
      <c r="D19">
        <v>1</v>
      </c>
      <c r="E19">
        <v>30</v>
      </c>
      <c r="F19">
        <v>10</v>
      </c>
      <c r="G19">
        <v>40</v>
      </c>
    </row>
    <row r="20" spans="1:7" x14ac:dyDescent="0.35">
      <c r="A20">
        <v>2</v>
      </c>
      <c r="B20" t="s">
        <v>12</v>
      </c>
      <c r="C20" t="s">
        <v>14</v>
      </c>
      <c r="D20">
        <v>1</v>
      </c>
      <c r="E20">
        <v>20</v>
      </c>
      <c r="F20">
        <v>5</v>
      </c>
      <c r="G20">
        <v>25</v>
      </c>
    </row>
    <row r="21" spans="1:7" x14ac:dyDescent="0.35">
      <c r="A21">
        <v>2</v>
      </c>
      <c r="B21" t="s">
        <v>12</v>
      </c>
      <c r="C21" t="s">
        <v>15</v>
      </c>
      <c r="D21">
        <v>2</v>
      </c>
      <c r="E21">
        <v>15</v>
      </c>
      <c r="F21">
        <v>5</v>
      </c>
      <c r="G21">
        <v>40</v>
      </c>
    </row>
    <row r="22" spans="1:7" x14ac:dyDescent="0.35">
      <c r="A22">
        <v>2</v>
      </c>
      <c r="B22" t="s">
        <v>16</v>
      </c>
      <c r="C22" t="s">
        <v>17</v>
      </c>
      <c r="D22">
        <v>1</v>
      </c>
      <c r="E22">
        <v>35</v>
      </c>
      <c r="F22">
        <v>7</v>
      </c>
      <c r="G22">
        <v>42</v>
      </c>
    </row>
    <row r="23" spans="1:7" x14ac:dyDescent="0.35">
      <c r="A23">
        <v>2</v>
      </c>
      <c r="B23" t="s">
        <v>16</v>
      </c>
      <c r="C23" t="s">
        <v>18</v>
      </c>
      <c r="D23">
        <v>2</v>
      </c>
      <c r="E23">
        <v>30</v>
      </c>
      <c r="F23">
        <v>6</v>
      </c>
      <c r="G23">
        <v>72</v>
      </c>
    </row>
    <row r="24" spans="1:7" x14ac:dyDescent="0.35">
      <c r="A24">
        <v>2</v>
      </c>
      <c r="B24" t="s">
        <v>16</v>
      </c>
      <c r="C24" t="s">
        <v>19</v>
      </c>
      <c r="D24">
        <v>1</v>
      </c>
      <c r="E24">
        <v>30</v>
      </c>
      <c r="F24">
        <v>6</v>
      </c>
      <c r="G24">
        <v>36</v>
      </c>
    </row>
    <row r="25" spans="1:7" x14ac:dyDescent="0.35">
      <c r="A25">
        <v>2</v>
      </c>
      <c r="B25" t="s">
        <v>20</v>
      </c>
      <c r="C25" t="s">
        <v>21</v>
      </c>
      <c r="D25">
        <v>1</v>
      </c>
      <c r="E25">
        <v>30</v>
      </c>
      <c r="F25">
        <v>5</v>
      </c>
      <c r="G25">
        <v>35</v>
      </c>
    </row>
    <row r="26" spans="1:7" x14ac:dyDescent="0.35">
      <c r="A26">
        <v>2</v>
      </c>
      <c r="B26" t="s">
        <v>20</v>
      </c>
      <c r="C26" t="s">
        <v>22</v>
      </c>
      <c r="D26">
        <v>1</v>
      </c>
      <c r="E26">
        <v>15</v>
      </c>
      <c r="F26">
        <v>2</v>
      </c>
      <c r="G26">
        <v>17</v>
      </c>
    </row>
    <row r="27" spans="1:7" x14ac:dyDescent="0.35">
      <c r="A27">
        <v>2</v>
      </c>
      <c r="B27" t="s">
        <v>20</v>
      </c>
      <c r="C27" t="s">
        <v>23</v>
      </c>
      <c r="D27">
        <v>1</v>
      </c>
      <c r="E27">
        <v>15</v>
      </c>
      <c r="F27">
        <v>2</v>
      </c>
      <c r="G27">
        <v>17</v>
      </c>
    </row>
    <row r="28" spans="1:7" x14ac:dyDescent="0.35">
      <c r="A28">
        <v>3</v>
      </c>
      <c r="B28" t="s">
        <v>7</v>
      </c>
      <c r="C28" t="s">
        <v>8</v>
      </c>
      <c r="D28">
        <v>1</v>
      </c>
      <c r="E28">
        <v>40</v>
      </c>
      <c r="F28">
        <v>10</v>
      </c>
      <c r="G28">
        <v>50</v>
      </c>
    </row>
    <row r="29" spans="1:7" x14ac:dyDescent="0.35">
      <c r="A29">
        <v>3</v>
      </c>
      <c r="B29" t="s">
        <v>7</v>
      </c>
      <c r="C29" t="s">
        <v>9</v>
      </c>
      <c r="D29">
        <v>2</v>
      </c>
      <c r="E29">
        <v>25</v>
      </c>
      <c r="F29">
        <v>5</v>
      </c>
      <c r="G29">
        <v>60</v>
      </c>
    </row>
    <row r="30" spans="1:7" x14ac:dyDescent="0.35">
      <c r="A30">
        <v>3</v>
      </c>
      <c r="B30" t="s">
        <v>7</v>
      </c>
      <c r="C30" t="s">
        <v>10</v>
      </c>
      <c r="D30">
        <v>2</v>
      </c>
      <c r="E30">
        <v>15</v>
      </c>
      <c r="F30">
        <v>3</v>
      </c>
      <c r="G30">
        <v>36</v>
      </c>
    </row>
    <row r="31" spans="1:7" x14ac:dyDescent="0.35">
      <c r="A31">
        <v>3</v>
      </c>
      <c r="B31" t="s">
        <v>7</v>
      </c>
      <c r="C31" t="s">
        <v>11</v>
      </c>
      <c r="D31">
        <v>1</v>
      </c>
      <c r="E31">
        <v>15</v>
      </c>
      <c r="F31">
        <v>3</v>
      </c>
      <c r="G31">
        <v>18</v>
      </c>
    </row>
    <row r="32" spans="1:7" x14ac:dyDescent="0.35">
      <c r="A32">
        <v>3</v>
      </c>
      <c r="B32" t="s">
        <v>12</v>
      </c>
      <c r="C32" t="s">
        <v>13</v>
      </c>
      <c r="D32">
        <v>1</v>
      </c>
      <c r="E32">
        <v>30</v>
      </c>
      <c r="F32">
        <v>10</v>
      </c>
      <c r="G32">
        <v>40</v>
      </c>
    </row>
    <row r="33" spans="1:7" x14ac:dyDescent="0.35">
      <c r="A33">
        <v>3</v>
      </c>
      <c r="B33" t="s">
        <v>12</v>
      </c>
      <c r="C33" t="s">
        <v>14</v>
      </c>
      <c r="D33">
        <v>1</v>
      </c>
      <c r="E33">
        <v>20</v>
      </c>
      <c r="F33">
        <v>5</v>
      </c>
      <c r="G33">
        <v>25</v>
      </c>
    </row>
    <row r="34" spans="1:7" x14ac:dyDescent="0.35">
      <c r="A34">
        <v>3</v>
      </c>
      <c r="B34" t="s">
        <v>12</v>
      </c>
      <c r="C34" t="s">
        <v>15</v>
      </c>
      <c r="D34">
        <v>2</v>
      </c>
      <c r="E34">
        <v>15</v>
      </c>
      <c r="F34">
        <v>5</v>
      </c>
      <c r="G34">
        <v>40</v>
      </c>
    </row>
    <row r="35" spans="1:7" x14ac:dyDescent="0.35">
      <c r="A35">
        <v>3</v>
      </c>
      <c r="B35" t="s">
        <v>16</v>
      </c>
      <c r="C35" t="s">
        <v>17</v>
      </c>
      <c r="D35">
        <v>1</v>
      </c>
      <c r="E35">
        <v>35</v>
      </c>
      <c r="F35">
        <v>7</v>
      </c>
      <c r="G35">
        <v>42</v>
      </c>
    </row>
    <row r="36" spans="1:7" x14ac:dyDescent="0.35">
      <c r="A36">
        <v>3</v>
      </c>
      <c r="B36" t="s">
        <v>16</v>
      </c>
      <c r="C36" t="s">
        <v>18</v>
      </c>
      <c r="D36">
        <v>2</v>
      </c>
      <c r="E36">
        <v>30</v>
      </c>
      <c r="F36">
        <v>6</v>
      </c>
      <c r="G36">
        <v>72</v>
      </c>
    </row>
    <row r="37" spans="1:7" x14ac:dyDescent="0.35">
      <c r="A37">
        <v>3</v>
      </c>
      <c r="B37" t="s">
        <v>16</v>
      </c>
      <c r="C37" t="s">
        <v>19</v>
      </c>
      <c r="D37">
        <v>1</v>
      </c>
      <c r="E37">
        <v>30</v>
      </c>
      <c r="F37">
        <v>6</v>
      </c>
      <c r="G37">
        <v>36</v>
      </c>
    </row>
    <row r="38" spans="1:7" x14ac:dyDescent="0.35">
      <c r="A38">
        <v>3</v>
      </c>
      <c r="B38" t="s">
        <v>20</v>
      </c>
      <c r="C38" t="s">
        <v>21</v>
      </c>
      <c r="D38">
        <v>1</v>
      </c>
      <c r="E38">
        <v>30</v>
      </c>
      <c r="F38">
        <v>5</v>
      </c>
      <c r="G38">
        <v>35</v>
      </c>
    </row>
    <row r="39" spans="1:7" x14ac:dyDescent="0.35">
      <c r="A39">
        <v>3</v>
      </c>
      <c r="B39" t="s">
        <v>20</v>
      </c>
      <c r="C39" t="s">
        <v>22</v>
      </c>
      <c r="D39">
        <v>1</v>
      </c>
      <c r="E39">
        <v>15</v>
      </c>
      <c r="F39">
        <v>2</v>
      </c>
      <c r="G39">
        <v>17</v>
      </c>
    </row>
    <row r="40" spans="1:7" x14ac:dyDescent="0.35">
      <c r="A40">
        <v>3</v>
      </c>
      <c r="B40" t="s">
        <v>20</v>
      </c>
      <c r="C40" t="s">
        <v>23</v>
      </c>
      <c r="D40">
        <v>1</v>
      </c>
      <c r="E40">
        <v>15</v>
      </c>
      <c r="F40">
        <v>2</v>
      </c>
      <c r="G40">
        <v>17</v>
      </c>
    </row>
    <row r="41" spans="1:7" x14ac:dyDescent="0.35">
      <c r="A41">
        <v>4</v>
      </c>
      <c r="B41" t="s">
        <v>7</v>
      </c>
      <c r="C41" t="s">
        <v>8</v>
      </c>
      <c r="D41">
        <v>1</v>
      </c>
      <c r="E41">
        <v>40</v>
      </c>
      <c r="F41">
        <v>10</v>
      </c>
      <c r="G41">
        <v>50</v>
      </c>
    </row>
    <row r="42" spans="1:7" x14ac:dyDescent="0.35">
      <c r="A42">
        <v>4</v>
      </c>
      <c r="B42" t="s">
        <v>7</v>
      </c>
      <c r="C42" t="s">
        <v>9</v>
      </c>
      <c r="D42">
        <v>3</v>
      </c>
      <c r="E42">
        <v>25</v>
      </c>
      <c r="F42">
        <v>5</v>
      </c>
      <c r="G42">
        <v>90</v>
      </c>
    </row>
    <row r="43" spans="1:7" x14ac:dyDescent="0.35">
      <c r="A43">
        <v>4</v>
      </c>
      <c r="B43" t="s">
        <v>7</v>
      </c>
      <c r="C43" t="s">
        <v>10</v>
      </c>
      <c r="D43">
        <v>3</v>
      </c>
      <c r="E43">
        <v>15</v>
      </c>
      <c r="F43">
        <v>3</v>
      </c>
      <c r="G43">
        <v>54</v>
      </c>
    </row>
    <row r="44" spans="1:7" x14ac:dyDescent="0.35">
      <c r="A44">
        <v>4</v>
      </c>
      <c r="B44" t="s">
        <v>7</v>
      </c>
      <c r="C44" t="s">
        <v>11</v>
      </c>
      <c r="D44">
        <v>1</v>
      </c>
      <c r="E44">
        <v>15</v>
      </c>
      <c r="F44">
        <v>3</v>
      </c>
      <c r="G44">
        <v>18</v>
      </c>
    </row>
    <row r="45" spans="1:7" x14ac:dyDescent="0.35">
      <c r="A45">
        <v>4</v>
      </c>
      <c r="B45" t="s">
        <v>12</v>
      </c>
      <c r="C45" t="s">
        <v>13</v>
      </c>
      <c r="D45">
        <v>1</v>
      </c>
      <c r="E45">
        <v>30</v>
      </c>
      <c r="F45">
        <v>10</v>
      </c>
      <c r="G45">
        <v>40</v>
      </c>
    </row>
    <row r="46" spans="1:7" x14ac:dyDescent="0.35">
      <c r="A46">
        <v>4</v>
      </c>
      <c r="B46" t="s">
        <v>12</v>
      </c>
      <c r="C46" t="s">
        <v>14</v>
      </c>
      <c r="D46">
        <v>1</v>
      </c>
      <c r="E46">
        <v>20</v>
      </c>
      <c r="F46">
        <v>5</v>
      </c>
      <c r="G46">
        <v>25</v>
      </c>
    </row>
    <row r="47" spans="1:7" x14ac:dyDescent="0.35">
      <c r="A47">
        <v>4</v>
      </c>
      <c r="B47" t="s">
        <v>12</v>
      </c>
      <c r="C47" t="s">
        <v>15</v>
      </c>
      <c r="D47">
        <v>3</v>
      </c>
      <c r="E47">
        <v>15</v>
      </c>
      <c r="F47">
        <v>5</v>
      </c>
      <c r="G47">
        <v>60</v>
      </c>
    </row>
    <row r="48" spans="1:7" x14ac:dyDescent="0.35">
      <c r="A48">
        <v>4</v>
      </c>
      <c r="B48" t="s">
        <v>16</v>
      </c>
      <c r="C48" t="s">
        <v>17</v>
      </c>
      <c r="D48">
        <v>1</v>
      </c>
      <c r="E48">
        <v>35</v>
      </c>
      <c r="F48">
        <v>7</v>
      </c>
      <c r="G48">
        <v>42</v>
      </c>
    </row>
    <row r="49" spans="1:7" x14ac:dyDescent="0.35">
      <c r="A49">
        <v>4</v>
      </c>
      <c r="B49" t="s">
        <v>16</v>
      </c>
      <c r="C49" t="s">
        <v>18</v>
      </c>
      <c r="D49">
        <v>3</v>
      </c>
      <c r="E49">
        <v>30</v>
      </c>
      <c r="F49">
        <v>6</v>
      </c>
      <c r="G49">
        <v>108</v>
      </c>
    </row>
    <row r="50" spans="1:7" x14ac:dyDescent="0.35">
      <c r="A50">
        <v>4</v>
      </c>
      <c r="B50" t="s">
        <v>16</v>
      </c>
      <c r="C50" t="s">
        <v>19</v>
      </c>
      <c r="D50">
        <v>1</v>
      </c>
      <c r="E50">
        <v>30</v>
      </c>
      <c r="F50">
        <v>6</v>
      </c>
      <c r="G50">
        <v>36</v>
      </c>
    </row>
    <row r="51" spans="1:7" x14ac:dyDescent="0.35">
      <c r="A51">
        <v>4</v>
      </c>
      <c r="B51" t="s">
        <v>20</v>
      </c>
      <c r="C51" t="s">
        <v>21</v>
      </c>
      <c r="D51">
        <v>1</v>
      </c>
      <c r="E51">
        <v>30</v>
      </c>
      <c r="F51">
        <v>5</v>
      </c>
      <c r="G51">
        <v>35</v>
      </c>
    </row>
    <row r="52" spans="1:7" x14ac:dyDescent="0.35">
      <c r="A52">
        <v>4</v>
      </c>
      <c r="B52" t="s">
        <v>20</v>
      </c>
      <c r="C52" t="s">
        <v>22</v>
      </c>
      <c r="D52">
        <v>1</v>
      </c>
      <c r="E52">
        <v>15</v>
      </c>
      <c r="F52">
        <v>2</v>
      </c>
      <c r="G52">
        <v>17</v>
      </c>
    </row>
    <row r="53" spans="1:7" x14ac:dyDescent="0.35">
      <c r="A53">
        <v>4</v>
      </c>
      <c r="B53" t="s">
        <v>20</v>
      </c>
      <c r="C53" t="s">
        <v>23</v>
      </c>
      <c r="D53">
        <v>1</v>
      </c>
      <c r="E53">
        <v>15</v>
      </c>
      <c r="F53">
        <v>2</v>
      </c>
      <c r="G53">
        <v>17</v>
      </c>
    </row>
    <row r="54" spans="1:7" x14ac:dyDescent="0.35">
      <c r="A54">
        <v>5</v>
      </c>
      <c r="B54" t="s">
        <v>7</v>
      </c>
      <c r="C54" t="s">
        <v>8</v>
      </c>
      <c r="D54">
        <v>1</v>
      </c>
      <c r="E54">
        <v>40</v>
      </c>
      <c r="F54">
        <v>10</v>
      </c>
      <c r="G54">
        <v>50</v>
      </c>
    </row>
    <row r="55" spans="1:7" x14ac:dyDescent="0.35">
      <c r="A55">
        <v>5</v>
      </c>
      <c r="B55" t="s">
        <v>7</v>
      </c>
      <c r="C55" t="s">
        <v>9</v>
      </c>
      <c r="D55">
        <v>3</v>
      </c>
      <c r="E55">
        <v>25</v>
      </c>
      <c r="F55">
        <v>5</v>
      </c>
      <c r="G55">
        <v>90</v>
      </c>
    </row>
    <row r="56" spans="1:7" x14ac:dyDescent="0.35">
      <c r="A56">
        <v>5</v>
      </c>
      <c r="B56" t="s">
        <v>7</v>
      </c>
      <c r="C56" t="s">
        <v>10</v>
      </c>
      <c r="D56">
        <v>3</v>
      </c>
      <c r="E56">
        <v>15</v>
      </c>
      <c r="F56">
        <v>3</v>
      </c>
      <c r="G56">
        <v>54</v>
      </c>
    </row>
    <row r="57" spans="1:7" x14ac:dyDescent="0.35">
      <c r="A57">
        <v>5</v>
      </c>
      <c r="B57" t="s">
        <v>7</v>
      </c>
      <c r="C57" t="s">
        <v>11</v>
      </c>
      <c r="D57">
        <v>1</v>
      </c>
      <c r="E57">
        <v>15</v>
      </c>
      <c r="F57">
        <v>3</v>
      </c>
      <c r="G57">
        <v>18</v>
      </c>
    </row>
    <row r="58" spans="1:7" x14ac:dyDescent="0.35">
      <c r="A58">
        <v>5</v>
      </c>
      <c r="B58" t="s">
        <v>12</v>
      </c>
      <c r="C58" t="s">
        <v>13</v>
      </c>
      <c r="D58">
        <v>1</v>
      </c>
      <c r="E58">
        <v>30</v>
      </c>
      <c r="F58">
        <v>10</v>
      </c>
      <c r="G58">
        <v>40</v>
      </c>
    </row>
    <row r="59" spans="1:7" x14ac:dyDescent="0.35">
      <c r="A59">
        <v>5</v>
      </c>
      <c r="B59" t="s">
        <v>12</v>
      </c>
      <c r="C59" t="s">
        <v>14</v>
      </c>
      <c r="D59">
        <v>1</v>
      </c>
      <c r="E59">
        <v>20</v>
      </c>
      <c r="F59">
        <v>5</v>
      </c>
      <c r="G59">
        <v>25</v>
      </c>
    </row>
    <row r="60" spans="1:7" x14ac:dyDescent="0.35">
      <c r="A60">
        <v>5</v>
      </c>
      <c r="B60" t="s">
        <v>12</v>
      </c>
      <c r="C60" t="s">
        <v>15</v>
      </c>
      <c r="D60">
        <v>3</v>
      </c>
      <c r="E60">
        <v>15</v>
      </c>
      <c r="F60">
        <v>5</v>
      </c>
      <c r="G60">
        <v>60</v>
      </c>
    </row>
    <row r="61" spans="1:7" x14ac:dyDescent="0.35">
      <c r="A61">
        <v>5</v>
      </c>
      <c r="B61" t="s">
        <v>16</v>
      </c>
      <c r="C61" t="s">
        <v>17</v>
      </c>
      <c r="D61">
        <v>1</v>
      </c>
      <c r="E61">
        <v>35</v>
      </c>
      <c r="F61">
        <v>7</v>
      </c>
      <c r="G61">
        <v>42</v>
      </c>
    </row>
    <row r="62" spans="1:7" x14ac:dyDescent="0.35">
      <c r="A62">
        <v>5</v>
      </c>
      <c r="B62" t="s">
        <v>16</v>
      </c>
      <c r="C62" t="s">
        <v>18</v>
      </c>
      <c r="D62">
        <v>3</v>
      </c>
      <c r="E62">
        <v>30</v>
      </c>
      <c r="F62">
        <v>6</v>
      </c>
      <c r="G62">
        <v>108</v>
      </c>
    </row>
    <row r="63" spans="1:7" x14ac:dyDescent="0.35">
      <c r="A63">
        <v>5</v>
      </c>
      <c r="B63" t="s">
        <v>16</v>
      </c>
      <c r="C63" t="s">
        <v>19</v>
      </c>
      <c r="D63">
        <v>1</v>
      </c>
      <c r="E63">
        <v>30</v>
      </c>
      <c r="F63">
        <v>6</v>
      </c>
      <c r="G63">
        <v>36</v>
      </c>
    </row>
    <row r="64" spans="1:7" x14ac:dyDescent="0.35">
      <c r="A64">
        <v>5</v>
      </c>
      <c r="B64" t="s">
        <v>20</v>
      </c>
      <c r="C64" t="s">
        <v>21</v>
      </c>
      <c r="D64">
        <v>1</v>
      </c>
      <c r="E64">
        <v>30</v>
      </c>
      <c r="F64">
        <v>5</v>
      </c>
      <c r="G64">
        <v>35</v>
      </c>
    </row>
    <row r="65" spans="1:7" x14ac:dyDescent="0.35">
      <c r="A65">
        <v>5</v>
      </c>
      <c r="B65" t="s">
        <v>20</v>
      </c>
      <c r="C65" t="s">
        <v>22</v>
      </c>
      <c r="D65">
        <v>1</v>
      </c>
      <c r="E65">
        <v>15</v>
      </c>
      <c r="F65">
        <v>2</v>
      </c>
      <c r="G65">
        <v>17</v>
      </c>
    </row>
    <row r="66" spans="1:7" x14ac:dyDescent="0.35">
      <c r="A66">
        <v>5</v>
      </c>
      <c r="B66" t="s">
        <v>20</v>
      </c>
      <c r="C66" t="s">
        <v>23</v>
      </c>
      <c r="D66">
        <v>1</v>
      </c>
      <c r="E66">
        <v>15</v>
      </c>
      <c r="F66">
        <v>2</v>
      </c>
      <c r="G66">
        <v>17</v>
      </c>
    </row>
    <row r="67" spans="1:7" x14ac:dyDescent="0.35">
      <c r="A67">
        <v>6</v>
      </c>
      <c r="B67" t="s">
        <v>7</v>
      </c>
      <c r="C67" t="s">
        <v>8</v>
      </c>
      <c r="D67">
        <v>1</v>
      </c>
      <c r="E67">
        <v>40</v>
      </c>
      <c r="F67">
        <v>10</v>
      </c>
      <c r="G67">
        <v>50</v>
      </c>
    </row>
    <row r="68" spans="1:7" x14ac:dyDescent="0.35">
      <c r="A68">
        <v>6</v>
      </c>
      <c r="B68" t="s">
        <v>7</v>
      </c>
      <c r="C68" t="s">
        <v>9</v>
      </c>
      <c r="D68">
        <v>3</v>
      </c>
      <c r="E68">
        <v>25</v>
      </c>
      <c r="F68">
        <v>5</v>
      </c>
      <c r="G68">
        <v>90</v>
      </c>
    </row>
    <row r="69" spans="1:7" x14ac:dyDescent="0.35">
      <c r="A69">
        <v>6</v>
      </c>
      <c r="B69" t="s">
        <v>7</v>
      </c>
      <c r="C69" t="s">
        <v>10</v>
      </c>
      <c r="D69">
        <v>3</v>
      </c>
      <c r="E69">
        <v>15</v>
      </c>
      <c r="F69">
        <v>3</v>
      </c>
      <c r="G69">
        <v>54</v>
      </c>
    </row>
    <row r="70" spans="1:7" x14ac:dyDescent="0.35">
      <c r="A70">
        <v>6</v>
      </c>
      <c r="B70" t="s">
        <v>7</v>
      </c>
      <c r="C70" t="s">
        <v>11</v>
      </c>
      <c r="D70">
        <v>1</v>
      </c>
      <c r="E70">
        <v>15</v>
      </c>
      <c r="F70">
        <v>3</v>
      </c>
      <c r="G70">
        <v>18</v>
      </c>
    </row>
    <row r="71" spans="1:7" x14ac:dyDescent="0.35">
      <c r="A71">
        <v>6</v>
      </c>
      <c r="B71" t="s">
        <v>12</v>
      </c>
      <c r="C71" t="s">
        <v>13</v>
      </c>
      <c r="D71">
        <v>1</v>
      </c>
      <c r="E71">
        <v>30</v>
      </c>
      <c r="F71">
        <v>10</v>
      </c>
      <c r="G71">
        <v>40</v>
      </c>
    </row>
    <row r="72" spans="1:7" x14ac:dyDescent="0.35">
      <c r="A72">
        <v>6</v>
      </c>
      <c r="B72" t="s">
        <v>12</v>
      </c>
      <c r="C72" t="s">
        <v>14</v>
      </c>
      <c r="D72">
        <v>1</v>
      </c>
      <c r="E72">
        <v>20</v>
      </c>
      <c r="F72">
        <v>5</v>
      </c>
      <c r="G72">
        <v>25</v>
      </c>
    </row>
    <row r="73" spans="1:7" x14ac:dyDescent="0.35">
      <c r="A73">
        <v>6</v>
      </c>
      <c r="B73" t="s">
        <v>12</v>
      </c>
      <c r="C73" t="s">
        <v>15</v>
      </c>
      <c r="D73">
        <v>3</v>
      </c>
      <c r="E73">
        <v>15</v>
      </c>
      <c r="F73">
        <v>5</v>
      </c>
      <c r="G73">
        <v>60</v>
      </c>
    </row>
    <row r="74" spans="1:7" x14ac:dyDescent="0.35">
      <c r="A74">
        <v>6</v>
      </c>
      <c r="B74" t="s">
        <v>16</v>
      </c>
      <c r="C74" t="s">
        <v>17</v>
      </c>
      <c r="D74">
        <v>1</v>
      </c>
      <c r="E74">
        <v>35</v>
      </c>
      <c r="F74">
        <v>7</v>
      </c>
      <c r="G74">
        <v>42</v>
      </c>
    </row>
    <row r="75" spans="1:7" x14ac:dyDescent="0.35">
      <c r="A75">
        <v>6</v>
      </c>
      <c r="B75" t="s">
        <v>16</v>
      </c>
      <c r="C75" t="s">
        <v>18</v>
      </c>
      <c r="D75">
        <v>3</v>
      </c>
      <c r="E75">
        <v>30</v>
      </c>
      <c r="F75">
        <v>6</v>
      </c>
      <c r="G75">
        <v>108</v>
      </c>
    </row>
    <row r="76" spans="1:7" x14ac:dyDescent="0.35">
      <c r="A76">
        <v>6</v>
      </c>
      <c r="B76" t="s">
        <v>16</v>
      </c>
      <c r="C76" t="s">
        <v>19</v>
      </c>
      <c r="D76">
        <v>1</v>
      </c>
      <c r="E76">
        <v>30</v>
      </c>
      <c r="F76">
        <v>6</v>
      </c>
      <c r="G76">
        <v>36</v>
      </c>
    </row>
    <row r="77" spans="1:7" x14ac:dyDescent="0.35">
      <c r="A77">
        <v>6</v>
      </c>
      <c r="B77" t="s">
        <v>20</v>
      </c>
      <c r="C77" t="s">
        <v>21</v>
      </c>
      <c r="D77">
        <v>1</v>
      </c>
      <c r="E77">
        <v>30</v>
      </c>
      <c r="F77">
        <v>5</v>
      </c>
      <c r="G77">
        <v>35</v>
      </c>
    </row>
    <row r="78" spans="1:7" x14ac:dyDescent="0.35">
      <c r="A78">
        <v>6</v>
      </c>
      <c r="B78" t="s">
        <v>20</v>
      </c>
      <c r="C78" t="s">
        <v>22</v>
      </c>
      <c r="D78">
        <v>1</v>
      </c>
      <c r="E78">
        <v>15</v>
      </c>
      <c r="F78">
        <v>2</v>
      </c>
      <c r="G78">
        <v>17</v>
      </c>
    </row>
    <row r="79" spans="1:7" x14ac:dyDescent="0.35">
      <c r="A79">
        <v>6</v>
      </c>
      <c r="B79" t="s">
        <v>20</v>
      </c>
      <c r="C79" t="s">
        <v>23</v>
      </c>
      <c r="D79">
        <v>1</v>
      </c>
      <c r="E79">
        <v>15</v>
      </c>
      <c r="F79">
        <v>2</v>
      </c>
      <c r="G79">
        <v>17</v>
      </c>
    </row>
    <row r="80" spans="1:7" x14ac:dyDescent="0.35">
      <c r="A80">
        <v>7</v>
      </c>
      <c r="B80" t="s">
        <v>7</v>
      </c>
      <c r="C80" t="s">
        <v>8</v>
      </c>
      <c r="D80">
        <v>1</v>
      </c>
      <c r="E80">
        <v>40</v>
      </c>
      <c r="F80">
        <v>10</v>
      </c>
      <c r="G80">
        <v>50</v>
      </c>
    </row>
    <row r="81" spans="1:7" x14ac:dyDescent="0.35">
      <c r="A81">
        <v>7</v>
      </c>
      <c r="B81" t="s">
        <v>7</v>
      </c>
      <c r="C81" t="s">
        <v>9</v>
      </c>
      <c r="D81">
        <v>3</v>
      </c>
      <c r="E81">
        <v>25</v>
      </c>
      <c r="F81">
        <v>5</v>
      </c>
      <c r="G81">
        <v>90</v>
      </c>
    </row>
    <row r="82" spans="1:7" x14ac:dyDescent="0.35">
      <c r="A82">
        <v>7</v>
      </c>
      <c r="B82" t="s">
        <v>7</v>
      </c>
      <c r="C82" t="s">
        <v>10</v>
      </c>
      <c r="D82">
        <v>3</v>
      </c>
      <c r="E82">
        <v>15</v>
      </c>
      <c r="F82">
        <v>3</v>
      </c>
      <c r="G82">
        <v>54</v>
      </c>
    </row>
    <row r="83" spans="1:7" x14ac:dyDescent="0.35">
      <c r="A83">
        <v>7</v>
      </c>
      <c r="B83" t="s">
        <v>7</v>
      </c>
      <c r="C83" t="s">
        <v>11</v>
      </c>
      <c r="D83">
        <v>1</v>
      </c>
      <c r="E83">
        <v>15</v>
      </c>
      <c r="F83">
        <v>3</v>
      </c>
      <c r="G83">
        <v>18</v>
      </c>
    </row>
    <row r="84" spans="1:7" x14ac:dyDescent="0.35">
      <c r="A84">
        <v>7</v>
      </c>
      <c r="B84" t="s">
        <v>12</v>
      </c>
      <c r="C84" t="s">
        <v>13</v>
      </c>
      <c r="D84">
        <v>1</v>
      </c>
      <c r="E84">
        <v>30</v>
      </c>
      <c r="F84">
        <v>10</v>
      </c>
      <c r="G84">
        <v>40</v>
      </c>
    </row>
    <row r="85" spans="1:7" x14ac:dyDescent="0.35">
      <c r="A85">
        <v>7</v>
      </c>
      <c r="B85" t="s">
        <v>12</v>
      </c>
      <c r="C85" t="s">
        <v>14</v>
      </c>
      <c r="D85">
        <v>1</v>
      </c>
      <c r="E85">
        <v>20</v>
      </c>
      <c r="F85">
        <v>5</v>
      </c>
      <c r="G85">
        <v>25</v>
      </c>
    </row>
    <row r="86" spans="1:7" x14ac:dyDescent="0.35">
      <c r="A86">
        <v>7</v>
      </c>
      <c r="B86" t="s">
        <v>12</v>
      </c>
      <c r="C86" t="s">
        <v>15</v>
      </c>
      <c r="D86">
        <v>3</v>
      </c>
      <c r="E86">
        <v>15</v>
      </c>
      <c r="F86">
        <v>5</v>
      </c>
      <c r="G86">
        <v>60</v>
      </c>
    </row>
    <row r="87" spans="1:7" x14ac:dyDescent="0.35">
      <c r="A87">
        <v>7</v>
      </c>
      <c r="B87" t="s">
        <v>16</v>
      </c>
      <c r="C87" t="s">
        <v>17</v>
      </c>
      <c r="D87">
        <v>1</v>
      </c>
      <c r="E87">
        <v>35</v>
      </c>
      <c r="F87">
        <v>7</v>
      </c>
      <c r="G87">
        <v>42</v>
      </c>
    </row>
    <row r="88" spans="1:7" x14ac:dyDescent="0.35">
      <c r="A88">
        <v>7</v>
      </c>
      <c r="B88" t="s">
        <v>16</v>
      </c>
      <c r="C88" t="s">
        <v>18</v>
      </c>
      <c r="D88">
        <v>3</v>
      </c>
      <c r="E88">
        <v>30</v>
      </c>
      <c r="F88">
        <v>6</v>
      </c>
      <c r="G88">
        <v>108</v>
      </c>
    </row>
    <row r="89" spans="1:7" x14ac:dyDescent="0.35">
      <c r="A89">
        <v>7</v>
      </c>
      <c r="B89" t="s">
        <v>16</v>
      </c>
      <c r="C89" t="s">
        <v>19</v>
      </c>
      <c r="D89">
        <v>1</v>
      </c>
      <c r="E89">
        <v>30</v>
      </c>
      <c r="F89">
        <v>6</v>
      </c>
      <c r="G89">
        <v>36</v>
      </c>
    </row>
    <row r="90" spans="1:7" x14ac:dyDescent="0.35">
      <c r="A90">
        <v>7</v>
      </c>
      <c r="B90" t="s">
        <v>20</v>
      </c>
      <c r="C90" t="s">
        <v>21</v>
      </c>
      <c r="D90">
        <v>1</v>
      </c>
      <c r="E90">
        <v>30</v>
      </c>
      <c r="F90">
        <v>5</v>
      </c>
      <c r="G90">
        <v>35</v>
      </c>
    </row>
    <row r="91" spans="1:7" x14ac:dyDescent="0.35">
      <c r="A91">
        <v>7</v>
      </c>
      <c r="B91" t="s">
        <v>20</v>
      </c>
      <c r="C91" t="s">
        <v>22</v>
      </c>
      <c r="D91">
        <v>1</v>
      </c>
      <c r="E91">
        <v>15</v>
      </c>
      <c r="F91">
        <v>2</v>
      </c>
      <c r="G91">
        <v>17</v>
      </c>
    </row>
    <row r="92" spans="1:7" x14ac:dyDescent="0.35">
      <c r="A92">
        <v>7</v>
      </c>
      <c r="B92" t="s">
        <v>20</v>
      </c>
      <c r="C92" t="s">
        <v>23</v>
      </c>
      <c r="D92">
        <v>1</v>
      </c>
      <c r="E92">
        <v>15</v>
      </c>
      <c r="F92">
        <v>2</v>
      </c>
      <c r="G92">
        <v>17</v>
      </c>
    </row>
    <row r="93" spans="1:7" x14ac:dyDescent="0.35">
      <c r="A93">
        <v>8</v>
      </c>
      <c r="B93" t="s">
        <v>7</v>
      </c>
      <c r="C93" t="s">
        <v>8</v>
      </c>
      <c r="D93">
        <v>1</v>
      </c>
      <c r="E93">
        <v>40</v>
      </c>
      <c r="F93">
        <v>10</v>
      </c>
      <c r="G93">
        <v>50</v>
      </c>
    </row>
    <row r="94" spans="1:7" x14ac:dyDescent="0.35">
      <c r="A94">
        <v>8</v>
      </c>
      <c r="B94" t="s">
        <v>7</v>
      </c>
      <c r="C94" t="s">
        <v>9</v>
      </c>
      <c r="D94">
        <v>4</v>
      </c>
      <c r="E94">
        <v>25</v>
      </c>
      <c r="F94">
        <v>5</v>
      </c>
      <c r="G94">
        <v>120</v>
      </c>
    </row>
    <row r="95" spans="1:7" x14ac:dyDescent="0.35">
      <c r="A95">
        <v>8</v>
      </c>
      <c r="B95" t="s">
        <v>7</v>
      </c>
      <c r="C95" t="s">
        <v>10</v>
      </c>
      <c r="D95">
        <v>4</v>
      </c>
      <c r="E95">
        <v>15</v>
      </c>
      <c r="F95">
        <v>3</v>
      </c>
      <c r="G95">
        <v>72</v>
      </c>
    </row>
    <row r="96" spans="1:7" x14ac:dyDescent="0.35">
      <c r="A96">
        <v>8</v>
      </c>
      <c r="B96" t="s">
        <v>7</v>
      </c>
      <c r="C96" t="s">
        <v>11</v>
      </c>
      <c r="D96">
        <v>1</v>
      </c>
      <c r="E96">
        <v>15</v>
      </c>
      <c r="F96">
        <v>3</v>
      </c>
      <c r="G96">
        <v>18</v>
      </c>
    </row>
    <row r="97" spans="1:7" x14ac:dyDescent="0.35">
      <c r="A97">
        <v>8</v>
      </c>
      <c r="B97" t="s">
        <v>12</v>
      </c>
      <c r="C97" t="s">
        <v>13</v>
      </c>
      <c r="D97">
        <v>1</v>
      </c>
      <c r="E97">
        <v>30</v>
      </c>
      <c r="F97">
        <v>10</v>
      </c>
      <c r="G97">
        <v>40</v>
      </c>
    </row>
    <row r="98" spans="1:7" x14ac:dyDescent="0.35">
      <c r="A98">
        <v>8</v>
      </c>
      <c r="B98" t="s">
        <v>12</v>
      </c>
      <c r="C98" t="s">
        <v>14</v>
      </c>
      <c r="D98">
        <v>1</v>
      </c>
      <c r="E98">
        <v>20</v>
      </c>
      <c r="F98">
        <v>5</v>
      </c>
      <c r="G98">
        <v>25</v>
      </c>
    </row>
    <row r="99" spans="1:7" x14ac:dyDescent="0.35">
      <c r="A99">
        <v>8</v>
      </c>
      <c r="B99" t="s">
        <v>12</v>
      </c>
      <c r="C99" t="s">
        <v>15</v>
      </c>
      <c r="D99">
        <v>4</v>
      </c>
      <c r="E99">
        <v>15</v>
      </c>
      <c r="F99">
        <v>5</v>
      </c>
      <c r="G99">
        <v>80</v>
      </c>
    </row>
    <row r="100" spans="1:7" x14ac:dyDescent="0.35">
      <c r="A100">
        <v>8</v>
      </c>
      <c r="B100" t="s">
        <v>16</v>
      </c>
      <c r="C100" t="s">
        <v>17</v>
      </c>
      <c r="D100">
        <v>1</v>
      </c>
      <c r="E100">
        <v>35</v>
      </c>
      <c r="F100">
        <v>7</v>
      </c>
      <c r="G100">
        <v>42</v>
      </c>
    </row>
    <row r="101" spans="1:7" x14ac:dyDescent="0.35">
      <c r="A101">
        <v>8</v>
      </c>
      <c r="B101" t="s">
        <v>16</v>
      </c>
      <c r="C101" t="s">
        <v>18</v>
      </c>
      <c r="D101">
        <v>4</v>
      </c>
      <c r="E101">
        <v>30</v>
      </c>
      <c r="F101">
        <v>6</v>
      </c>
      <c r="G101">
        <v>144</v>
      </c>
    </row>
    <row r="102" spans="1:7" x14ac:dyDescent="0.35">
      <c r="A102">
        <v>8</v>
      </c>
      <c r="B102" t="s">
        <v>16</v>
      </c>
      <c r="C102" t="s">
        <v>19</v>
      </c>
      <c r="D102">
        <v>1</v>
      </c>
      <c r="E102">
        <v>30</v>
      </c>
      <c r="F102">
        <v>6</v>
      </c>
      <c r="G102">
        <v>36</v>
      </c>
    </row>
    <row r="103" spans="1:7" x14ac:dyDescent="0.35">
      <c r="A103">
        <v>8</v>
      </c>
      <c r="B103" t="s">
        <v>20</v>
      </c>
      <c r="C103" t="s">
        <v>21</v>
      </c>
      <c r="D103">
        <v>1</v>
      </c>
      <c r="E103">
        <v>30</v>
      </c>
      <c r="F103">
        <v>5</v>
      </c>
      <c r="G103">
        <v>35</v>
      </c>
    </row>
    <row r="104" spans="1:7" x14ac:dyDescent="0.35">
      <c r="A104">
        <v>8</v>
      </c>
      <c r="B104" t="s">
        <v>20</v>
      </c>
      <c r="C104" t="s">
        <v>22</v>
      </c>
      <c r="D104">
        <v>1</v>
      </c>
      <c r="E104">
        <v>15</v>
      </c>
      <c r="F104">
        <v>2</v>
      </c>
      <c r="G104">
        <v>17</v>
      </c>
    </row>
    <row r="105" spans="1:7" x14ac:dyDescent="0.35">
      <c r="A105">
        <v>8</v>
      </c>
      <c r="B105" t="s">
        <v>20</v>
      </c>
      <c r="C105" t="s">
        <v>23</v>
      </c>
      <c r="D105">
        <v>1</v>
      </c>
      <c r="E105">
        <v>15</v>
      </c>
      <c r="F105">
        <v>2</v>
      </c>
      <c r="G105">
        <v>17</v>
      </c>
    </row>
    <row r="106" spans="1:7" x14ac:dyDescent="0.35">
      <c r="A106">
        <v>9</v>
      </c>
      <c r="B106" t="s">
        <v>7</v>
      </c>
      <c r="C106" t="s">
        <v>8</v>
      </c>
      <c r="D106">
        <v>1</v>
      </c>
      <c r="E106">
        <v>40</v>
      </c>
      <c r="F106">
        <v>10</v>
      </c>
      <c r="G106">
        <v>50</v>
      </c>
    </row>
    <row r="107" spans="1:7" x14ac:dyDescent="0.35">
      <c r="A107">
        <v>9</v>
      </c>
      <c r="B107" t="s">
        <v>7</v>
      </c>
      <c r="C107" t="s">
        <v>9</v>
      </c>
      <c r="D107">
        <v>4</v>
      </c>
      <c r="E107">
        <v>25</v>
      </c>
      <c r="F107">
        <v>5</v>
      </c>
      <c r="G107">
        <v>120</v>
      </c>
    </row>
    <row r="108" spans="1:7" x14ac:dyDescent="0.35">
      <c r="A108">
        <v>9</v>
      </c>
      <c r="B108" t="s">
        <v>7</v>
      </c>
      <c r="C108" t="s">
        <v>10</v>
      </c>
      <c r="D108">
        <v>4</v>
      </c>
      <c r="E108">
        <v>15</v>
      </c>
      <c r="F108">
        <v>3</v>
      </c>
      <c r="G108">
        <v>72</v>
      </c>
    </row>
    <row r="109" spans="1:7" x14ac:dyDescent="0.35">
      <c r="A109">
        <v>9</v>
      </c>
      <c r="B109" t="s">
        <v>7</v>
      </c>
      <c r="C109" t="s">
        <v>11</v>
      </c>
      <c r="D109">
        <v>1</v>
      </c>
      <c r="E109">
        <v>15</v>
      </c>
      <c r="F109">
        <v>3</v>
      </c>
      <c r="G109">
        <v>18</v>
      </c>
    </row>
    <row r="110" spans="1:7" x14ac:dyDescent="0.35">
      <c r="A110">
        <v>9</v>
      </c>
      <c r="B110" t="s">
        <v>12</v>
      </c>
      <c r="C110" t="s">
        <v>13</v>
      </c>
      <c r="D110">
        <v>1</v>
      </c>
      <c r="E110">
        <v>30</v>
      </c>
      <c r="F110">
        <v>10</v>
      </c>
      <c r="G110">
        <v>40</v>
      </c>
    </row>
    <row r="111" spans="1:7" x14ac:dyDescent="0.35">
      <c r="A111">
        <v>9</v>
      </c>
      <c r="B111" t="s">
        <v>12</v>
      </c>
      <c r="C111" t="s">
        <v>14</v>
      </c>
      <c r="D111">
        <v>1</v>
      </c>
      <c r="E111">
        <v>20</v>
      </c>
      <c r="F111">
        <v>5</v>
      </c>
      <c r="G111">
        <v>25</v>
      </c>
    </row>
    <row r="112" spans="1:7" x14ac:dyDescent="0.35">
      <c r="A112">
        <v>9</v>
      </c>
      <c r="B112" t="s">
        <v>12</v>
      </c>
      <c r="C112" t="s">
        <v>15</v>
      </c>
      <c r="D112">
        <v>4</v>
      </c>
      <c r="E112">
        <v>15</v>
      </c>
      <c r="F112">
        <v>5</v>
      </c>
      <c r="G112">
        <v>80</v>
      </c>
    </row>
    <row r="113" spans="1:7" x14ac:dyDescent="0.35">
      <c r="A113">
        <v>9</v>
      </c>
      <c r="B113" t="s">
        <v>16</v>
      </c>
      <c r="C113" t="s">
        <v>17</v>
      </c>
      <c r="D113">
        <v>1</v>
      </c>
      <c r="E113">
        <v>35</v>
      </c>
      <c r="F113">
        <v>7</v>
      </c>
      <c r="G113">
        <v>42</v>
      </c>
    </row>
    <row r="114" spans="1:7" x14ac:dyDescent="0.35">
      <c r="A114">
        <v>9</v>
      </c>
      <c r="B114" t="s">
        <v>16</v>
      </c>
      <c r="C114" t="s">
        <v>18</v>
      </c>
      <c r="D114">
        <v>4</v>
      </c>
      <c r="E114">
        <v>30</v>
      </c>
      <c r="F114">
        <v>6</v>
      </c>
      <c r="G114">
        <v>144</v>
      </c>
    </row>
    <row r="115" spans="1:7" x14ac:dyDescent="0.35">
      <c r="A115">
        <v>9</v>
      </c>
      <c r="B115" t="s">
        <v>16</v>
      </c>
      <c r="C115" t="s">
        <v>19</v>
      </c>
      <c r="D115">
        <v>1</v>
      </c>
      <c r="E115">
        <v>30</v>
      </c>
      <c r="F115">
        <v>6</v>
      </c>
      <c r="G115">
        <v>36</v>
      </c>
    </row>
    <row r="116" spans="1:7" x14ac:dyDescent="0.35">
      <c r="A116">
        <v>9</v>
      </c>
      <c r="B116" t="s">
        <v>20</v>
      </c>
      <c r="C116" t="s">
        <v>21</v>
      </c>
      <c r="D116">
        <v>1</v>
      </c>
      <c r="E116">
        <v>30</v>
      </c>
      <c r="F116">
        <v>5</v>
      </c>
      <c r="G116">
        <v>35</v>
      </c>
    </row>
    <row r="117" spans="1:7" x14ac:dyDescent="0.35">
      <c r="A117">
        <v>9</v>
      </c>
      <c r="B117" t="s">
        <v>20</v>
      </c>
      <c r="C117" t="s">
        <v>22</v>
      </c>
      <c r="D117">
        <v>1</v>
      </c>
      <c r="E117">
        <v>15</v>
      </c>
      <c r="F117">
        <v>2</v>
      </c>
      <c r="G117">
        <v>17</v>
      </c>
    </row>
    <row r="118" spans="1:7" x14ac:dyDescent="0.35">
      <c r="A118">
        <v>9</v>
      </c>
      <c r="B118" t="s">
        <v>20</v>
      </c>
      <c r="C118" t="s">
        <v>23</v>
      </c>
      <c r="D118">
        <v>1</v>
      </c>
      <c r="E118">
        <v>15</v>
      </c>
      <c r="F118">
        <v>2</v>
      </c>
      <c r="G118">
        <v>17</v>
      </c>
    </row>
    <row r="119" spans="1:7" x14ac:dyDescent="0.35">
      <c r="A119">
        <v>10</v>
      </c>
      <c r="B119" t="s">
        <v>7</v>
      </c>
      <c r="C119" t="s">
        <v>8</v>
      </c>
      <c r="D119">
        <v>1</v>
      </c>
      <c r="E119">
        <v>40</v>
      </c>
      <c r="F119">
        <v>10</v>
      </c>
      <c r="G119">
        <v>50</v>
      </c>
    </row>
    <row r="120" spans="1:7" x14ac:dyDescent="0.35">
      <c r="A120">
        <v>10</v>
      </c>
      <c r="B120" t="s">
        <v>7</v>
      </c>
      <c r="C120" t="s">
        <v>9</v>
      </c>
      <c r="D120">
        <v>4</v>
      </c>
      <c r="E120">
        <v>25</v>
      </c>
      <c r="F120">
        <v>5</v>
      </c>
      <c r="G120">
        <v>120</v>
      </c>
    </row>
    <row r="121" spans="1:7" x14ac:dyDescent="0.35">
      <c r="A121">
        <v>10</v>
      </c>
      <c r="B121" t="s">
        <v>7</v>
      </c>
      <c r="C121" t="s">
        <v>10</v>
      </c>
      <c r="D121">
        <v>4</v>
      </c>
      <c r="E121">
        <v>15</v>
      </c>
      <c r="F121">
        <v>3</v>
      </c>
      <c r="G121">
        <v>72</v>
      </c>
    </row>
    <row r="122" spans="1:7" x14ac:dyDescent="0.35">
      <c r="A122">
        <v>10</v>
      </c>
      <c r="B122" t="s">
        <v>7</v>
      </c>
      <c r="C122" t="s">
        <v>11</v>
      </c>
      <c r="D122">
        <v>1</v>
      </c>
      <c r="E122">
        <v>15</v>
      </c>
      <c r="F122">
        <v>3</v>
      </c>
      <c r="G122">
        <v>18</v>
      </c>
    </row>
    <row r="123" spans="1:7" x14ac:dyDescent="0.35">
      <c r="A123">
        <v>10</v>
      </c>
      <c r="B123" t="s">
        <v>12</v>
      </c>
      <c r="C123" t="s">
        <v>13</v>
      </c>
      <c r="D123">
        <v>1</v>
      </c>
      <c r="E123">
        <v>30</v>
      </c>
      <c r="F123">
        <v>10</v>
      </c>
      <c r="G123">
        <v>40</v>
      </c>
    </row>
    <row r="124" spans="1:7" x14ac:dyDescent="0.35">
      <c r="A124">
        <v>10</v>
      </c>
      <c r="B124" t="s">
        <v>12</v>
      </c>
      <c r="C124" t="s">
        <v>14</v>
      </c>
      <c r="D124">
        <v>1</v>
      </c>
      <c r="E124">
        <v>20</v>
      </c>
      <c r="F124">
        <v>5</v>
      </c>
      <c r="G124">
        <v>25</v>
      </c>
    </row>
    <row r="125" spans="1:7" x14ac:dyDescent="0.35">
      <c r="A125">
        <v>10</v>
      </c>
      <c r="B125" t="s">
        <v>12</v>
      </c>
      <c r="C125" t="s">
        <v>15</v>
      </c>
      <c r="D125">
        <v>4</v>
      </c>
      <c r="E125">
        <v>15</v>
      </c>
      <c r="F125">
        <v>5</v>
      </c>
      <c r="G125">
        <v>80</v>
      </c>
    </row>
    <row r="126" spans="1:7" x14ac:dyDescent="0.35">
      <c r="A126">
        <v>10</v>
      </c>
      <c r="B126" t="s">
        <v>16</v>
      </c>
      <c r="C126" t="s">
        <v>17</v>
      </c>
      <c r="D126">
        <v>1</v>
      </c>
      <c r="E126">
        <v>35</v>
      </c>
      <c r="F126">
        <v>7</v>
      </c>
      <c r="G126">
        <v>42</v>
      </c>
    </row>
    <row r="127" spans="1:7" x14ac:dyDescent="0.35">
      <c r="A127">
        <v>10</v>
      </c>
      <c r="B127" t="s">
        <v>16</v>
      </c>
      <c r="C127" t="s">
        <v>18</v>
      </c>
      <c r="D127">
        <v>4</v>
      </c>
      <c r="E127">
        <v>30</v>
      </c>
      <c r="F127">
        <v>6</v>
      </c>
      <c r="G127">
        <v>144</v>
      </c>
    </row>
    <row r="128" spans="1:7" x14ac:dyDescent="0.35">
      <c r="A128">
        <v>10</v>
      </c>
      <c r="B128" t="s">
        <v>16</v>
      </c>
      <c r="C128" t="s">
        <v>19</v>
      </c>
      <c r="D128">
        <v>1</v>
      </c>
      <c r="E128">
        <v>30</v>
      </c>
      <c r="F128">
        <v>6</v>
      </c>
      <c r="G128">
        <v>36</v>
      </c>
    </row>
    <row r="129" spans="1:7" x14ac:dyDescent="0.35">
      <c r="A129">
        <v>10</v>
      </c>
      <c r="B129" t="s">
        <v>20</v>
      </c>
      <c r="C129" t="s">
        <v>21</v>
      </c>
      <c r="D129">
        <v>1</v>
      </c>
      <c r="E129">
        <v>30</v>
      </c>
      <c r="F129">
        <v>5</v>
      </c>
      <c r="G129">
        <v>35</v>
      </c>
    </row>
    <row r="130" spans="1:7" x14ac:dyDescent="0.35">
      <c r="A130">
        <v>10</v>
      </c>
      <c r="B130" t="s">
        <v>20</v>
      </c>
      <c r="C130" t="s">
        <v>22</v>
      </c>
      <c r="D130">
        <v>1</v>
      </c>
      <c r="E130">
        <v>15</v>
      </c>
      <c r="F130">
        <v>2</v>
      </c>
      <c r="G130">
        <v>17</v>
      </c>
    </row>
    <row r="131" spans="1:7" x14ac:dyDescent="0.35">
      <c r="A131">
        <v>10</v>
      </c>
      <c r="B131" t="s">
        <v>20</v>
      </c>
      <c r="C131" t="s">
        <v>23</v>
      </c>
      <c r="D131">
        <v>1</v>
      </c>
      <c r="E131">
        <v>15</v>
      </c>
      <c r="F131">
        <v>2</v>
      </c>
      <c r="G131">
        <v>17</v>
      </c>
    </row>
    <row r="132" spans="1:7" x14ac:dyDescent="0.35">
      <c r="A132">
        <v>11</v>
      </c>
      <c r="B132" t="s">
        <v>7</v>
      </c>
      <c r="C132" t="s">
        <v>8</v>
      </c>
      <c r="D132">
        <v>1</v>
      </c>
      <c r="E132">
        <v>40</v>
      </c>
      <c r="F132">
        <v>10</v>
      </c>
      <c r="G132">
        <v>50</v>
      </c>
    </row>
    <row r="133" spans="1:7" x14ac:dyDescent="0.35">
      <c r="A133">
        <v>11</v>
      </c>
      <c r="B133" t="s">
        <v>7</v>
      </c>
      <c r="C133" t="s">
        <v>9</v>
      </c>
      <c r="D133">
        <v>4</v>
      </c>
      <c r="E133">
        <v>25</v>
      </c>
      <c r="F133">
        <v>5</v>
      </c>
      <c r="G133">
        <v>120</v>
      </c>
    </row>
    <row r="134" spans="1:7" x14ac:dyDescent="0.35">
      <c r="A134">
        <v>11</v>
      </c>
      <c r="B134" t="s">
        <v>7</v>
      </c>
      <c r="C134" t="s">
        <v>10</v>
      </c>
      <c r="D134">
        <v>4</v>
      </c>
      <c r="E134">
        <v>15</v>
      </c>
      <c r="F134">
        <v>3</v>
      </c>
      <c r="G134">
        <v>72</v>
      </c>
    </row>
    <row r="135" spans="1:7" x14ac:dyDescent="0.35">
      <c r="A135">
        <v>11</v>
      </c>
      <c r="B135" t="s">
        <v>7</v>
      </c>
      <c r="C135" t="s">
        <v>11</v>
      </c>
      <c r="D135">
        <v>1</v>
      </c>
      <c r="E135">
        <v>15</v>
      </c>
      <c r="F135">
        <v>3</v>
      </c>
      <c r="G135">
        <v>18</v>
      </c>
    </row>
    <row r="136" spans="1:7" x14ac:dyDescent="0.35">
      <c r="A136">
        <v>11</v>
      </c>
      <c r="B136" t="s">
        <v>12</v>
      </c>
      <c r="C136" t="s">
        <v>13</v>
      </c>
      <c r="D136">
        <v>1</v>
      </c>
      <c r="E136">
        <v>30</v>
      </c>
      <c r="F136">
        <v>10</v>
      </c>
      <c r="G136">
        <v>40</v>
      </c>
    </row>
    <row r="137" spans="1:7" x14ac:dyDescent="0.35">
      <c r="A137">
        <v>11</v>
      </c>
      <c r="B137" t="s">
        <v>12</v>
      </c>
      <c r="C137" t="s">
        <v>14</v>
      </c>
      <c r="D137">
        <v>1</v>
      </c>
      <c r="E137">
        <v>20</v>
      </c>
      <c r="F137">
        <v>5</v>
      </c>
      <c r="G137">
        <v>25</v>
      </c>
    </row>
    <row r="138" spans="1:7" x14ac:dyDescent="0.35">
      <c r="A138">
        <v>11</v>
      </c>
      <c r="B138" t="s">
        <v>12</v>
      </c>
      <c r="C138" t="s">
        <v>15</v>
      </c>
      <c r="D138">
        <v>4</v>
      </c>
      <c r="E138">
        <v>15</v>
      </c>
      <c r="F138">
        <v>5</v>
      </c>
      <c r="G138">
        <v>80</v>
      </c>
    </row>
    <row r="139" spans="1:7" x14ac:dyDescent="0.35">
      <c r="A139">
        <v>11</v>
      </c>
      <c r="B139" t="s">
        <v>16</v>
      </c>
      <c r="C139" t="s">
        <v>17</v>
      </c>
      <c r="D139">
        <v>1</v>
      </c>
      <c r="E139">
        <v>35</v>
      </c>
      <c r="F139">
        <v>7</v>
      </c>
      <c r="G139">
        <v>42</v>
      </c>
    </row>
    <row r="140" spans="1:7" x14ac:dyDescent="0.35">
      <c r="A140">
        <v>11</v>
      </c>
      <c r="B140" t="s">
        <v>16</v>
      </c>
      <c r="C140" t="s">
        <v>18</v>
      </c>
      <c r="D140">
        <v>4</v>
      </c>
      <c r="E140">
        <v>30</v>
      </c>
      <c r="F140">
        <v>6</v>
      </c>
      <c r="G140">
        <v>144</v>
      </c>
    </row>
    <row r="141" spans="1:7" x14ac:dyDescent="0.35">
      <c r="A141">
        <v>11</v>
      </c>
      <c r="B141" t="s">
        <v>16</v>
      </c>
      <c r="C141" t="s">
        <v>19</v>
      </c>
      <c r="D141">
        <v>1</v>
      </c>
      <c r="E141">
        <v>30</v>
      </c>
      <c r="F141">
        <v>6</v>
      </c>
      <c r="G141">
        <v>36</v>
      </c>
    </row>
    <row r="142" spans="1:7" x14ac:dyDescent="0.35">
      <c r="A142">
        <v>11</v>
      </c>
      <c r="B142" t="s">
        <v>20</v>
      </c>
      <c r="C142" t="s">
        <v>21</v>
      </c>
      <c r="D142">
        <v>1</v>
      </c>
      <c r="E142">
        <v>30</v>
      </c>
      <c r="F142">
        <v>5</v>
      </c>
      <c r="G142">
        <v>35</v>
      </c>
    </row>
    <row r="143" spans="1:7" x14ac:dyDescent="0.35">
      <c r="A143">
        <v>11</v>
      </c>
      <c r="B143" t="s">
        <v>20</v>
      </c>
      <c r="C143" t="s">
        <v>22</v>
      </c>
      <c r="D143">
        <v>1</v>
      </c>
      <c r="E143">
        <v>15</v>
      </c>
      <c r="F143">
        <v>2</v>
      </c>
      <c r="G143">
        <v>17</v>
      </c>
    </row>
    <row r="144" spans="1:7" x14ac:dyDescent="0.35">
      <c r="A144">
        <v>11</v>
      </c>
      <c r="B144" t="s">
        <v>20</v>
      </c>
      <c r="C144" t="s">
        <v>23</v>
      </c>
      <c r="D144">
        <v>1</v>
      </c>
      <c r="E144">
        <v>15</v>
      </c>
      <c r="F144">
        <v>2</v>
      </c>
      <c r="G144">
        <v>17</v>
      </c>
    </row>
    <row r="145" spans="1:7" x14ac:dyDescent="0.35">
      <c r="A145">
        <v>12</v>
      </c>
      <c r="B145" t="s">
        <v>7</v>
      </c>
      <c r="C145" t="s">
        <v>8</v>
      </c>
      <c r="D145">
        <v>1</v>
      </c>
      <c r="E145">
        <v>40</v>
      </c>
      <c r="F145">
        <v>10</v>
      </c>
      <c r="G145">
        <v>50</v>
      </c>
    </row>
    <row r="146" spans="1:7" x14ac:dyDescent="0.35">
      <c r="A146">
        <v>12</v>
      </c>
      <c r="B146" t="s">
        <v>7</v>
      </c>
      <c r="C146" t="s">
        <v>9</v>
      </c>
      <c r="D146">
        <v>5</v>
      </c>
      <c r="E146">
        <v>25</v>
      </c>
      <c r="F146">
        <v>5</v>
      </c>
      <c r="G146">
        <v>150</v>
      </c>
    </row>
    <row r="147" spans="1:7" x14ac:dyDescent="0.35">
      <c r="A147">
        <v>12</v>
      </c>
      <c r="B147" t="s">
        <v>7</v>
      </c>
      <c r="C147" t="s">
        <v>10</v>
      </c>
      <c r="D147">
        <v>5</v>
      </c>
      <c r="E147">
        <v>15</v>
      </c>
      <c r="F147">
        <v>3</v>
      </c>
      <c r="G147">
        <v>90</v>
      </c>
    </row>
    <row r="148" spans="1:7" x14ac:dyDescent="0.35">
      <c r="A148">
        <v>12</v>
      </c>
      <c r="B148" t="s">
        <v>7</v>
      </c>
      <c r="C148" t="s">
        <v>11</v>
      </c>
      <c r="D148">
        <v>1</v>
      </c>
      <c r="E148">
        <v>15</v>
      </c>
      <c r="F148">
        <v>3</v>
      </c>
      <c r="G148">
        <v>18</v>
      </c>
    </row>
    <row r="149" spans="1:7" x14ac:dyDescent="0.35">
      <c r="A149">
        <v>12</v>
      </c>
      <c r="B149" t="s">
        <v>12</v>
      </c>
      <c r="C149" t="s">
        <v>13</v>
      </c>
      <c r="D149">
        <v>1</v>
      </c>
      <c r="E149">
        <v>30</v>
      </c>
      <c r="F149">
        <v>10</v>
      </c>
      <c r="G149">
        <v>40</v>
      </c>
    </row>
    <row r="150" spans="1:7" x14ac:dyDescent="0.35">
      <c r="A150">
        <v>12</v>
      </c>
      <c r="B150" t="s">
        <v>12</v>
      </c>
      <c r="C150" t="s">
        <v>14</v>
      </c>
      <c r="D150">
        <v>1</v>
      </c>
      <c r="E150">
        <v>20</v>
      </c>
      <c r="F150">
        <v>5</v>
      </c>
      <c r="G150">
        <v>25</v>
      </c>
    </row>
    <row r="151" spans="1:7" x14ac:dyDescent="0.35">
      <c r="A151">
        <v>12</v>
      </c>
      <c r="B151" t="s">
        <v>12</v>
      </c>
      <c r="C151" t="s">
        <v>15</v>
      </c>
      <c r="D151">
        <v>5</v>
      </c>
      <c r="E151">
        <v>15</v>
      </c>
      <c r="F151">
        <v>5</v>
      </c>
      <c r="G151">
        <v>100</v>
      </c>
    </row>
    <row r="152" spans="1:7" x14ac:dyDescent="0.35">
      <c r="A152">
        <v>12</v>
      </c>
      <c r="B152" t="s">
        <v>16</v>
      </c>
      <c r="C152" t="s">
        <v>17</v>
      </c>
      <c r="D152">
        <v>1</v>
      </c>
      <c r="E152">
        <v>35</v>
      </c>
      <c r="F152">
        <v>7</v>
      </c>
      <c r="G152">
        <v>42</v>
      </c>
    </row>
    <row r="153" spans="1:7" x14ac:dyDescent="0.35">
      <c r="A153">
        <v>12</v>
      </c>
      <c r="B153" t="s">
        <v>16</v>
      </c>
      <c r="C153" t="s">
        <v>18</v>
      </c>
      <c r="D153">
        <v>5</v>
      </c>
      <c r="E153">
        <v>30</v>
      </c>
      <c r="F153">
        <v>6</v>
      </c>
      <c r="G153">
        <v>180</v>
      </c>
    </row>
    <row r="154" spans="1:7" x14ac:dyDescent="0.35">
      <c r="A154">
        <v>12</v>
      </c>
      <c r="B154" t="s">
        <v>16</v>
      </c>
      <c r="C154" t="s">
        <v>19</v>
      </c>
      <c r="D154">
        <v>1</v>
      </c>
      <c r="E154">
        <v>30</v>
      </c>
      <c r="F154">
        <v>6</v>
      </c>
      <c r="G154">
        <v>36</v>
      </c>
    </row>
    <row r="155" spans="1:7" x14ac:dyDescent="0.35">
      <c r="A155">
        <v>12</v>
      </c>
      <c r="B155" t="s">
        <v>20</v>
      </c>
      <c r="C155" t="s">
        <v>21</v>
      </c>
      <c r="D155">
        <v>1</v>
      </c>
      <c r="E155">
        <v>30</v>
      </c>
      <c r="F155">
        <v>5</v>
      </c>
      <c r="G155">
        <v>35</v>
      </c>
    </row>
    <row r="156" spans="1:7" x14ac:dyDescent="0.35">
      <c r="A156">
        <v>12</v>
      </c>
      <c r="B156" t="s">
        <v>20</v>
      </c>
      <c r="C156" t="s">
        <v>22</v>
      </c>
      <c r="D156">
        <v>1</v>
      </c>
      <c r="E156">
        <v>15</v>
      </c>
      <c r="F156">
        <v>2</v>
      </c>
      <c r="G156">
        <v>17</v>
      </c>
    </row>
    <row r="157" spans="1:7" x14ac:dyDescent="0.35">
      <c r="A157">
        <v>12</v>
      </c>
      <c r="B157" t="s">
        <v>20</v>
      </c>
      <c r="C157" t="s">
        <v>23</v>
      </c>
      <c r="D157">
        <v>1</v>
      </c>
      <c r="E157">
        <v>15</v>
      </c>
      <c r="F157">
        <v>2</v>
      </c>
      <c r="G157">
        <v>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9"/>
  <sheetViews>
    <sheetView topLeftCell="C1" workbookViewId="0">
      <selection activeCell="D2" sqref="D2:D50"/>
    </sheetView>
  </sheetViews>
  <sheetFormatPr defaultRowHeight="14.5" x14ac:dyDescent="0.35"/>
  <cols>
    <col min="1" max="1" width="10" customWidth="1"/>
    <col min="2" max="2" width="14" customWidth="1"/>
    <col min="3" max="4" width="82" customWidth="1"/>
    <col min="5" max="5" width="14" customWidth="1"/>
    <col min="6" max="6" width="8" customWidth="1"/>
    <col min="7" max="7" width="12" customWidth="1"/>
  </cols>
  <sheetData>
    <row r="1" spans="1:7" x14ac:dyDescent="0.35">
      <c r="A1" s="12" t="s">
        <v>0</v>
      </c>
      <c r="B1" s="12" t="s">
        <v>43</v>
      </c>
      <c r="C1" s="12" t="s">
        <v>58</v>
      </c>
      <c r="D1" s="12" t="s">
        <v>59</v>
      </c>
      <c r="E1" s="12" t="s">
        <v>60</v>
      </c>
      <c r="F1" s="12" t="s">
        <v>61</v>
      </c>
      <c r="G1" s="12" t="s">
        <v>62</v>
      </c>
    </row>
    <row r="2" spans="1:7" x14ac:dyDescent="0.35">
      <c r="A2" s="13">
        <v>1</v>
      </c>
      <c r="B2" s="13" t="s">
        <v>7</v>
      </c>
      <c r="C2" s="13">
        <f>SUMIFS(Luong_theo_ban!D:D, Luong_theo_ban!A:A, A2, Luong_theo_ban!B:B, B2)</f>
        <v>6</v>
      </c>
      <c r="D2" s="13"/>
      <c r="E2" s="13"/>
      <c r="F2" s="13"/>
      <c r="G2" s="13"/>
    </row>
    <row r="3" spans="1:7" x14ac:dyDescent="0.35">
      <c r="A3" s="13">
        <v>1</v>
      </c>
      <c r="B3" s="13" t="s">
        <v>12</v>
      </c>
      <c r="C3" s="13">
        <f>SUMIFS(Luong_theo_ban!D:D, Luong_theo_ban!A:A, A3, Luong_theo_ban!B:B, B3)</f>
        <v>4</v>
      </c>
      <c r="D3" s="13"/>
      <c r="E3" s="13"/>
      <c r="F3" s="13"/>
      <c r="G3" s="13"/>
    </row>
    <row r="4" spans="1:7" x14ac:dyDescent="0.35">
      <c r="A4" s="13">
        <v>1</v>
      </c>
      <c r="B4" s="13" t="s">
        <v>16</v>
      </c>
      <c r="C4" s="13">
        <f>SUMIFS(Luong_theo_ban!D:D, Luong_theo_ban!A:A, A4, Luong_theo_ban!B:B, B4)</f>
        <v>4</v>
      </c>
      <c r="D4" s="13"/>
      <c r="E4" s="13"/>
      <c r="F4" s="13"/>
      <c r="G4" s="13"/>
    </row>
    <row r="5" spans="1:7" x14ac:dyDescent="0.35">
      <c r="A5" s="13">
        <v>1</v>
      </c>
      <c r="B5" s="13" t="s">
        <v>20</v>
      </c>
      <c r="C5" s="13">
        <f>SUMIFS(Luong_theo_ban!D:D, Luong_theo_ban!A:A, A5, Luong_theo_ban!B:B, B5)</f>
        <v>3</v>
      </c>
      <c r="D5" s="13"/>
      <c r="E5" s="13"/>
      <c r="F5" s="13"/>
      <c r="G5" s="13"/>
    </row>
    <row r="6" spans="1:7" x14ac:dyDescent="0.35">
      <c r="A6" s="13">
        <v>2</v>
      </c>
      <c r="B6" s="13" t="s">
        <v>7</v>
      </c>
      <c r="C6" s="13">
        <f>SUMIFS(Luong_theo_ban!D:D, Luong_theo_ban!A:A, A6, Luong_theo_ban!B:B, B6)</f>
        <v>6</v>
      </c>
      <c r="D6" s="13"/>
      <c r="E6" s="13"/>
      <c r="F6" s="13"/>
      <c r="G6" s="13"/>
    </row>
    <row r="7" spans="1:7" x14ac:dyDescent="0.35">
      <c r="A7" s="13">
        <v>2</v>
      </c>
      <c r="B7" s="13" t="s">
        <v>12</v>
      </c>
      <c r="C7" s="13">
        <f>SUMIFS(Luong_theo_ban!D:D, Luong_theo_ban!A:A, A7, Luong_theo_ban!B:B, B7)</f>
        <v>4</v>
      </c>
      <c r="D7" s="13"/>
      <c r="E7" s="13"/>
      <c r="F7" s="13"/>
      <c r="G7" s="13"/>
    </row>
    <row r="8" spans="1:7" x14ac:dyDescent="0.35">
      <c r="A8" s="13">
        <v>2</v>
      </c>
      <c r="B8" s="13" t="s">
        <v>16</v>
      </c>
      <c r="C8" s="13">
        <f>SUMIFS(Luong_theo_ban!D:D, Luong_theo_ban!A:A, A8, Luong_theo_ban!B:B, B8)</f>
        <v>4</v>
      </c>
      <c r="D8" s="13"/>
      <c r="E8" s="13"/>
      <c r="F8" s="13"/>
      <c r="G8" s="13"/>
    </row>
    <row r="9" spans="1:7" x14ac:dyDescent="0.35">
      <c r="A9" s="13">
        <v>2</v>
      </c>
      <c r="B9" s="13" t="s">
        <v>20</v>
      </c>
      <c r="C9" s="13">
        <f>SUMIFS(Luong_theo_ban!D:D, Luong_theo_ban!A:A, A9, Luong_theo_ban!B:B, B9)</f>
        <v>3</v>
      </c>
      <c r="D9" s="13"/>
      <c r="E9" s="13"/>
      <c r="F9" s="13"/>
      <c r="G9" s="13"/>
    </row>
    <row r="10" spans="1:7" x14ac:dyDescent="0.35">
      <c r="A10" s="13">
        <v>3</v>
      </c>
      <c r="B10" s="13" t="s">
        <v>7</v>
      </c>
      <c r="C10" s="13">
        <f>SUMIFS(Luong_theo_ban!D:D, Luong_theo_ban!A:A, A10, Luong_theo_ban!B:B, B10)</f>
        <v>6</v>
      </c>
      <c r="D10" s="13"/>
      <c r="E10" s="13"/>
      <c r="F10" s="13"/>
      <c r="G10" s="13"/>
    </row>
    <row r="11" spans="1:7" x14ac:dyDescent="0.35">
      <c r="A11" s="13">
        <v>3</v>
      </c>
      <c r="B11" s="13" t="s">
        <v>12</v>
      </c>
      <c r="C11" s="13">
        <f>SUMIFS(Luong_theo_ban!D:D, Luong_theo_ban!A:A, A11, Luong_theo_ban!B:B, B11)</f>
        <v>4</v>
      </c>
      <c r="D11" s="13"/>
      <c r="E11" s="13"/>
      <c r="F11" s="13"/>
      <c r="G11" s="13"/>
    </row>
    <row r="12" spans="1:7" x14ac:dyDescent="0.35">
      <c r="A12" s="13">
        <v>3</v>
      </c>
      <c r="B12" s="13" t="s">
        <v>16</v>
      </c>
      <c r="C12" s="13">
        <f>SUMIFS(Luong_theo_ban!D:D, Luong_theo_ban!A:A, A12, Luong_theo_ban!B:B, B12)</f>
        <v>4</v>
      </c>
      <c r="D12" s="13"/>
      <c r="E12" s="13"/>
      <c r="F12" s="13"/>
      <c r="G12" s="13"/>
    </row>
    <row r="13" spans="1:7" x14ac:dyDescent="0.35">
      <c r="A13" s="13">
        <v>3</v>
      </c>
      <c r="B13" s="13" t="s">
        <v>20</v>
      </c>
      <c r="C13" s="13">
        <f>SUMIFS(Luong_theo_ban!D:D, Luong_theo_ban!A:A, A13, Luong_theo_ban!B:B, B13)</f>
        <v>3</v>
      </c>
      <c r="D13" s="13"/>
      <c r="E13" s="13"/>
      <c r="F13" s="13"/>
      <c r="G13" s="13"/>
    </row>
    <row r="14" spans="1:7" x14ac:dyDescent="0.35">
      <c r="A14" s="13">
        <v>4</v>
      </c>
      <c r="B14" s="13" t="s">
        <v>7</v>
      </c>
      <c r="C14" s="13">
        <f>SUMIFS(Luong_theo_ban!D:D, Luong_theo_ban!A:A, A14, Luong_theo_ban!B:B, B14)</f>
        <v>8</v>
      </c>
      <c r="D14" s="13"/>
      <c r="E14" s="13"/>
      <c r="F14" s="13"/>
      <c r="G14" s="13"/>
    </row>
    <row r="15" spans="1:7" x14ac:dyDescent="0.35">
      <c r="A15" s="13">
        <v>4</v>
      </c>
      <c r="B15" s="13" t="s">
        <v>12</v>
      </c>
      <c r="C15" s="13">
        <f>SUMIFS(Luong_theo_ban!D:D, Luong_theo_ban!A:A, A15, Luong_theo_ban!B:B, B15)</f>
        <v>5</v>
      </c>
      <c r="D15" s="13"/>
      <c r="E15" s="13"/>
      <c r="F15" s="13"/>
      <c r="G15" s="13"/>
    </row>
    <row r="16" spans="1:7" x14ac:dyDescent="0.35">
      <c r="A16" s="13">
        <v>4</v>
      </c>
      <c r="B16" s="13" t="s">
        <v>16</v>
      </c>
      <c r="C16" s="13">
        <f>SUMIFS(Luong_theo_ban!D:D, Luong_theo_ban!A:A, A16, Luong_theo_ban!B:B, B16)</f>
        <v>5</v>
      </c>
      <c r="D16" s="13"/>
      <c r="E16" s="13"/>
      <c r="F16" s="13"/>
      <c r="G16" s="13"/>
    </row>
    <row r="17" spans="1:7" x14ac:dyDescent="0.35">
      <c r="A17" s="13">
        <v>4</v>
      </c>
      <c r="B17" s="13" t="s">
        <v>20</v>
      </c>
      <c r="C17" s="13">
        <f>SUMIFS(Luong_theo_ban!D:D, Luong_theo_ban!A:A, A17, Luong_theo_ban!B:B, B17)</f>
        <v>3</v>
      </c>
      <c r="D17" s="13"/>
      <c r="E17" s="13"/>
      <c r="F17" s="13"/>
      <c r="G17" s="13"/>
    </row>
    <row r="18" spans="1:7" x14ac:dyDescent="0.35">
      <c r="A18" s="13">
        <v>5</v>
      </c>
      <c r="B18" s="13" t="s">
        <v>7</v>
      </c>
      <c r="C18" s="13">
        <f>SUMIFS(Luong_theo_ban!D:D, Luong_theo_ban!A:A, A18, Luong_theo_ban!B:B, B18)</f>
        <v>8</v>
      </c>
      <c r="D18" s="13"/>
      <c r="E18" s="13"/>
      <c r="F18" s="13"/>
      <c r="G18" s="13"/>
    </row>
    <row r="19" spans="1:7" x14ac:dyDescent="0.35">
      <c r="A19" s="13">
        <v>5</v>
      </c>
      <c r="B19" s="13" t="s">
        <v>12</v>
      </c>
      <c r="C19" s="13">
        <f>SUMIFS(Luong_theo_ban!D:D, Luong_theo_ban!A:A, A19, Luong_theo_ban!B:B, B19)</f>
        <v>5</v>
      </c>
      <c r="D19" s="13"/>
      <c r="E19" s="13"/>
      <c r="F19" s="13"/>
      <c r="G19" s="13"/>
    </row>
    <row r="20" spans="1:7" x14ac:dyDescent="0.35">
      <c r="A20" s="13">
        <v>5</v>
      </c>
      <c r="B20" s="13" t="s">
        <v>16</v>
      </c>
      <c r="C20" s="13">
        <f>SUMIFS(Luong_theo_ban!D:D, Luong_theo_ban!A:A, A20, Luong_theo_ban!B:B, B20)</f>
        <v>5</v>
      </c>
      <c r="D20" s="13"/>
      <c r="E20" s="13"/>
      <c r="F20" s="13"/>
      <c r="G20" s="13"/>
    </row>
    <row r="21" spans="1:7" x14ac:dyDescent="0.35">
      <c r="A21" s="13">
        <v>5</v>
      </c>
      <c r="B21" s="13" t="s">
        <v>20</v>
      </c>
      <c r="C21" s="13">
        <f>SUMIFS(Luong_theo_ban!D:D, Luong_theo_ban!A:A, A21, Luong_theo_ban!B:B, B21)</f>
        <v>3</v>
      </c>
      <c r="D21" s="13"/>
      <c r="E21" s="13"/>
      <c r="F21" s="13"/>
      <c r="G21" s="13"/>
    </row>
    <row r="22" spans="1:7" x14ac:dyDescent="0.35">
      <c r="A22" s="13">
        <v>6</v>
      </c>
      <c r="B22" s="13" t="s">
        <v>7</v>
      </c>
      <c r="C22" s="13">
        <f>SUMIFS(Luong_theo_ban!D:D, Luong_theo_ban!A:A, A22, Luong_theo_ban!B:B, B22)</f>
        <v>8</v>
      </c>
      <c r="D22" s="13"/>
      <c r="E22" s="13"/>
      <c r="F22" s="13"/>
      <c r="G22" s="13"/>
    </row>
    <row r="23" spans="1:7" x14ac:dyDescent="0.35">
      <c r="A23" s="13">
        <v>6</v>
      </c>
      <c r="B23" s="13" t="s">
        <v>12</v>
      </c>
      <c r="C23" s="13">
        <f>SUMIFS(Luong_theo_ban!D:D, Luong_theo_ban!A:A, A23, Luong_theo_ban!B:B, B23)</f>
        <v>5</v>
      </c>
      <c r="D23" s="13"/>
      <c r="E23" s="13"/>
      <c r="F23" s="13"/>
      <c r="G23" s="13"/>
    </row>
    <row r="24" spans="1:7" x14ac:dyDescent="0.35">
      <c r="A24" s="13">
        <v>6</v>
      </c>
      <c r="B24" s="13" t="s">
        <v>16</v>
      </c>
      <c r="C24" s="13">
        <f>SUMIFS(Luong_theo_ban!D:D, Luong_theo_ban!A:A, A24, Luong_theo_ban!B:B, B24)</f>
        <v>5</v>
      </c>
      <c r="D24" s="13"/>
      <c r="E24" s="13"/>
      <c r="F24" s="13"/>
      <c r="G24" s="13"/>
    </row>
    <row r="25" spans="1:7" x14ac:dyDescent="0.35">
      <c r="A25" s="13">
        <v>6</v>
      </c>
      <c r="B25" s="13" t="s">
        <v>20</v>
      </c>
      <c r="C25" s="13">
        <f>SUMIFS(Luong_theo_ban!D:D, Luong_theo_ban!A:A, A25, Luong_theo_ban!B:B, B25)</f>
        <v>3</v>
      </c>
      <c r="D25" s="13"/>
      <c r="E25" s="13"/>
      <c r="F25" s="13"/>
      <c r="G25" s="13"/>
    </row>
    <row r="26" spans="1:7" x14ac:dyDescent="0.35">
      <c r="A26" s="13">
        <v>7</v>
      </c>
      <c r="B26" s="13" t="s">
        <v>7</v>
      </c>
      <c r="C26" s="13">
        <f>SUMIFS(Luong_theo_ban!D:D, Luong_theo_ban!A:A, A26, Luong_theo_ban!B:B, B26)</f>
        <v>8</v>
      </c>
      <c r="D26" s="13"/>
      <c r="E26" s="13"/>
      <c r="F26" s="13"/>
      <c r="G26" s="13"/>
    </row>
    <row r="27" spans="1:7" x14ac:dyDescent="0.35">
      <c r="A27" s="13">
        <v>7</v>
      </c>
      <c r="B27" s="13" t="s">
        <v>12</v>
      </c>
      <c r="C27" s="13">
        <f>SUMIFS(Luong_theo_ban!D:D, Luong_theo_ban!A:A, A27, Luong_theo_ban!B:B, B27)</f>
        <v>5</v>
      </c>
      <c r="D27" s="13"/>
      <c r="E27" s="13"/>
      <c r="F27" s="13"/>
      <c r="G27" s="13"/>
    </row>
    <row r="28" spans="1:7" x14ac:dyDescent="0.35">
      <c r="A28" s="13">
        <v>7</v>
      </c>
      <c r="B28" s="13" t="s">
        <v>16</v>
      </c>
      <c r="C28" s="13">
        <f>SUMIFS(Luong_theo_ban!D:D, Luong_theo_ban!A:A, A28, Luong_theo_ban!B:B, B28)</f>
        <v>5</v>
      </c>
      <c r="D28" s="13"/>
      <c r="E28" s="13"/>
      <c r="F28" s="13"/>
      <c r="G28" s="13"/>
    </row>
    <row r="29" spans="1:7" x14ac:dyDescent="0.35">
      <c r="A29" s="13">
        <v>7</v>
      </c>
      <c r="B29" s="13" t="s">
        <v>20</v>
      </c>
      <c r="C29" s="13">
        <f>SUMIFS(Luong_theo_ban!D:D, Luong_theo_ban!A:A, A29, Luong_theo_ban!B:B, B29)</f>
        <v>3</v>
      </c>
      <c r="D29" s="13"/>
      <c r="E29" s="13"/>
      <c r="F29" s="13"/>
      <c r="G29" s="13"/>
    </row>
    <row r="30" spans="1:7" x14ac:dyDescent="0.35">
      <c r="A30" s="13">
        <v>8</v>
      </c>
      <c r="B30" s="13" t="s">
        <v>7</v>
      </c>
      <c r="C30" s="13">
        <f>SUMIFS(Luong_theo_ban!D:D, Luong_theo_ban!A:A, A30, Luong_theo_ban!B:B, B30)</f>
        <v>10</v>
      </c>
      <c r="D30" s="13"/>
      <c r="E30" s="13"/>
      <c r="F30" s="13"/>
      <c r="G30" s="13"/>
    </row>
    <row r="31" spans="1:7" x14ac:dyDescent="0.35">
      <c r="A31" s="13">
        <v>8</v>
      </c>
      <c r="B31" s="13" t="s">
        <v>12</v>
      </c>
      <c r="C31" s="13">
        <f>SUMIFS(Luong_theo_ban!D:D, Luong_theo_ban!A:A, A31, Luong_theo_ban!B:B, B31)</f>
        <v>6</v>
      </c>
      <c r="D31" s="13"/>
      <c r="E31" s="13"/>
      <c r="F31" s="13"/>
      <c r="G31" s="13"/>
    </row>
    <row r="32" spans="1:7" x14ac:dyDescent="0.35">
      <c r="A32" s="13">
        <v>8</v>
      </c>
      <c r="B32" s="13" t="s">
        <v>16</v>
      </c>
      <c r="C32" s="13">
        <f>SUMIFS(Luong_theo_ban!D:D, Luong_theo_ban!A:A, A32, Luong_theo_ban!B:B, B32)</f>
        <v>6</v>
      </c>
      <c r="D32" s="13"/>
      <c r="E32" s="13"/>
      <c r="F32" s="13"/>
      <c r="G32" s="13"/>
    </row>
    <row r="33" spans="1:7" x14ac:dyDescent="0.35">
      <c r="A33" s="13">
        <v>8</v>
      </c>
      <c r="B33" s="13" t="s">
        <v>20</v>
      </c>
      <c r="C33" s="13">
        <f>SUMIFS(Luong_theo_ban!D:D, Luong_theo_ban!A:A, A33, Luong_theo_ban!B:B, B33)</f>
        <v>3</v>
      </c>
      <c r="D33" s="13"/>
      <c r="E33" s="13"/>
      <c r="F33" s="13"/>
      <c r="G33" s="13"/>
    </row>
    <row r="34" spans="1:7" x14ac:dyDescent="0.35">
      <c r="A34" s="13">
        <v>9</v>
      </c>
      <c r="B34" s="13" t="s">
        <v>7</v>
      </c>
      <c r="C34" s="13">
        <f>SUMIFS(Luong_theo_ban!D:D, Luong_theo_ban!A:A, A34, Luong_theo_ban!B:B, B34)</f>
        <v>10</v>
      </c>
      <c r="D34" s="13"/>
      <c r="E34" s="13"/>
      <c r="F34" s="13"/>
      <c r="G34" s="13"/>
    </row>
    <row r="35" spans="1:7" x14ac:dyDescent="0.35">
      <c r="A35" s="13">
        <v>9</v>
      </c>
      <c r="B35" s="13" t="s">
        <v>12</v>
      </c>
      <c r="C35" s="13">
        <f>SUMIFS(Luong_theo_ban!D:D, Luong_theo_ban!A:A, A35, Luong_theo_ban!B:B, B35)</f>
        <v>6</v>
      </c>
      <c r="D35" s="13"/>
      <c r="E35" s="13"/>
      <c r="F35" s="13"/>
      <c r="G35" s="13"/>
    </row>
    <row r="36" spans="1:7" x14ac:dyDescent="0.35">
      <c r="A36" s="13">
        <v>9</v>
      </c>
      <c r="B36" s="13" t="s">
        <v>16</v>
      </c>
      <c r="C36" s="13">
        <f>SUMIFS(Luong_theo_ban!D:D, Luong_theo_ban!A:A, A36, Luong_theo_ban!B:B, B36)</f>
        <v>6</v>
      </c>
      <c r="D36" s="13"/>
      <c r="E36" s="13"/>
      <c r="F36" s="13"/>
      <c r="G36" s="13"/>
    </row>
    <row r="37" spans="1:7" x14ac:dyDescent="0.35">
      <c r="A37" s="13">
        <v>9</v>
      </c>
      <c r="B37" s="13" t="s">
        <v>20</v>
      </c>
      <c r="C37" s="13">
        <f>SUMIFS(Luong_theo_ban!D:D, Luong_theo_ban!A:A, A37, Luong_theo_ban!B:B, B37)</f>
        <v>3</v>
      </c>
      <c r="D37" s="13"/>
      <c r="E37" s="13"/>
      <c r="F37" s="13"/>
      <c r="G37" s="13"/>
    </row>
    <row r="38" spans="1:7" x14ac:dyDescent="0.35">
      <c r="A38" s="13">
        <v>10</v>
      </c>
      <c r="B38" s="13" t="s">
        <v>7</v>
      </c>
      <c r="C38" s="13">
        <f>SUMIFS(Luong_theo_ban!D:D, Luong_theo_ban!A:A, A38, Luong_theo_ban!B:B, B38)</f>
        <v>10</v>
      </c>
      <c r="D38" s="13"/>
      <c r="E38" s="13"/>
      <c r="F38" s="13"/>
      <c r="G38" s="13"/>
    </row>
    <row r="39" spans="1:7" x14ac:dyDescent="0.35">
      <c r="A39" s="13">
        <v>10</v>
      </c>
      <c r="B39" s="13" t="s">
        <v>12</v>
      </c>
      <c r="C39" s="13">
        <f>SUMIFS(Luong_theo_ban!D:D, Luong_theo_ban!A:A, A39, Luong_theo_ban!B:B, B39)</f>
        <v>6</v>
      </c>
      <c r="D39" s="13"/>
      <c r="E39" s="13"/>
      <c r="F39" s="13"/>
      <c r="G39" s="13"/>
    </row>
    <row r="40" spans="1:7" x14ac:dyDescent="0.35">
      <c r="A40" s="13">
        <v>10</v>
      </c>
      <c r="B40" s="13" t="s">
        <v>16</v>
      </c>
      <c r="C40" s="13">
        <f>SUMIFS(Luong_theo_ban!D:D, Luong_theo_ban!A:A, A40, Luong_theo_ban!B:B, B40)</f>
        <v>6</v>
      </c>
      <c r="D40" s="13"/>
      <c r="E40" s="13"/>
      <c r="F40" s="13"/>
      <c r="G40" s="13"/>
    </row>
    <row r="41" spans="1:7" x14ac:dyDescent="0.35">
      <c r="A41" s="13">
        <v>10</v>
      </c>
      <c r="B41" s="13" t="s">
        <v>20</v>
      </c>
      <c r="C41" s="13">
        <f>SUMIFS(Luong_theo_ban!D:D, Luong_theo_ban!A:A, A41, Luong_theo_ban!B:B, B41)</f>
        <v>3</v>
      </c>
      <c r="D41" s="13"/>
      <c r="E41" s="13"/>
      <c r="F41" s="13"/>
      <c r="G41" s="13"/>
    </row>
    <row r="42" spans="1:7" x14ac:dyDescent="0.35">
      <c r="A42" s="13">
        <v>11</v>
      </c>
      <c r="B42" s="13" t="s">
        <v>7</v>
      </c>
      <c r="C42" s="13">
        <f>SUMIFS(Luong_theo_ban!D:D, Luong_theo_ban!A:A, A42, Luong_theo_ban!B:B, B42)</f>
        <v>10</v>
      </c>
      <c r="D42" s="13"/>
      <c r="E42" s="13"/>
      <c r="F42" s="13"/>
      <c r="G42" s="13"/>
    </row>
    <row r="43" spans="1:7" x14ac:dyDescent="0.35">
      <c r="A43" s="13">
        <v>11</v>
      </c>
      <c r="B43" s="13" t="s">
        <v>12</v>
      </c>
      <c r="C43" s="13">
        <f>SUMIFS(Luong_theo_ban!D:D, Luong_theo_ban!A:A, A43, Luong_theo_ban!B:B, B43)</f>
        <v>6</v>
      </c>
      <c r="D43" s="13"/>
      <c r="E43" s="13"/>
      <c r="F43" s="13"/>
      <c r="G43" s="13"/>
    </row>
    <row r="44" spans="1:7" x14ac:dyDescent="0.35">
      <c r="A44" s="13">
        <v>11</v>
      </c>
      <c r="B44" s="13" t="s">
        <v>16</v>
      </c>
      <c r="C44" s="13">
        <f>SUMIFS(Luong_theo_ban!D:D, Luong_theo_ban!A:A, A44, Luong_theo_ban!B:B, B44)</f>
        <v>6</v>
      </c>
      <c r="D44" s="13"/>
      <c r="E44" s="13"/>
      <c r="F44" s="13"/>
      <c r="G44" s="13"/>
    </row>
    <row r="45" spans="1:7" x14ac:dyDescent="0.35">
      <c r="A45" s="13">
        <v>11</v>
      </c>
      <c r="B45" s="13" t="s">
        <v>20</v>
      </c>
      <c r="C45" s="13">
        <f>SUMIFS(Luong_theo_ban!D:D, Luong_theo_ban!A:A, A45, Luong_theo_ban!B:B, B45)</f>
        <v>3</v>
      </c>
      <c r="D45" s="13"/>
      <c r="E45" s="13"/>
      <c r="F45" s="13"/>
      <c r="G45" s="13"/>
    </row>
    <row r="46" spans="1:7" x14ac:dyDescent="0.35">
      <c r="A46" s="13">
        <v>12</v>
      </c>
      <c r="B46" s="13" t="s">
        <v>7</v>
      </c>
      <c r="C46" s="13">
        <f>SUMIFS(Luong_theo_ban!D:D, Luong_theo_ban!A:A, A46, Luong_theo_ban!B:B, B46)</f>
        <v>12</v>
      </c>
      <c r="D46" s="13"/>
      <c r="E46" s="13"/>
      <c r="F46" s="13"/>
      <c r="G46" s="13"/>
    </row>
    <row r="47" spans="1:7" x14ac:dyDescent="0.35">
      <c r="A47" s="13">
        <v>12</v>
      </c>
      <c r="B47" s="13" t="s">
        <v>12</v>
      </c>
      <c r="C47" s="13">
        <f>SUMIFS(Luong_theo_ban!D:D, Luong_theo_ban!A:A, A47, Luong_theo_ban!B:B, B47)</f>
        <v>7</v>
      </c>
      <c r="D47" s="13"/>
      <c r="E47" s="13"/>
      <c r="F47" s="13"/>
      <c r="G47" s="13"/>
    </row>
    <row r="48" spans="1:7" x14ac:dyDescent="0.35">
      <c r="A48" s="13">
        <v>12</v>
      </c>
      <c r="B48" s="13" t="s">
        <v>16</v>
      </c>
      <c r="C48" s="13">
        <f>SUMIFS(Luong_theo_ban!D:D, Luong_theo_ban!A:A, A48, Luong_theo_ban!B:B, B48)</f>
        <v>7</v>
      </c>
      <c r="D48" s="13"/>
      <c r="E48" s="13"/>
      <c r="F48" s="13"/>
      <c r="G48" s="13"/>
    </row>
    <row r="49" spans="1:7" x14ac:dyDescent="0.35">
      <c r="A49" s="13">
        <v>12</v>
      </c>
      <c r="B49" s="13" t="s">
        <v>20</v>
      </c>
      <c r="C49" s="13">
        <f>SUMIFS(Luong_theo_ban!D:D, Luong_theo_ban!A:A, A49, Luong_theo_ban!B:B, B49)</f>
        <v>3</v>
      </c>
      <c r="D49" s="13"/>
      <c r="E49" s="13"/>
      <c r="F49" s="13"/>
      <c r="G49" s="1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Financial Model</vt:lpstr>
      <vt:lpstr>Assumptions</vt:lpstr>
      <vt:lpstr>Dau_vao</vt:lpstr>
      <vt:lpstr>Luong_theo_ban</vt:lpstr>
      <vt:lpstr>KPI_theo_ban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Phan Huu Binh Nguyen</cp:lastModifiedBy>
  <dcterms:created xsi:type="dcterms:W3CDTF">2026-03-28T08:34:24Z</dcterms:created>
  <dcterms:modified xsi:type="dcterms:W3CDTF">2026-04-01T16:41:57Z</dcterms:modified>
</cp:coreProperties>
</file>